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动态甘特图" sheetId="1" r:id="rId1"/>
    <sheet name="阶段规划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<sst xmlns="http://schemas.openxmlformats.org/spreadsheetml/2006/main" count="280" uniqueCount="158">
  <si>
    <t>运维问题库平台开发计划甘特图</t>
  </si>
  <si>
    <t>日期轴（自基准起始日起逐日排列）</t>
  </si>
  <si>
    <t>基准起始日：2026-05-26 ｜ 当前规划周期：2026-05-26 至 2026-07-24（约1.5-2个月） ｜ 灰色=计划工期，绿色=实际完成</t>
  </si>
  <si>
    <t>说明：阶段标题采用明显深蓝色横条分隔；修改“开始日期/规划工期/实际起止日期”后，右侧甘特色块自动联动。</t>
  </si>
  <si>
    <t>05月</t>
  </si>
  <si>
    <t/>
  </si>
  <si>
    <t>06月</t>
  </si>
  <si>
    <t>07月</t>
  </si>
  <si>
    <t>序号</t>
  </si>
  <si>
    <t>阶段</t>
  </si>
  <si>
    <t>任务名称</t>
  </si>
  <si>
    <t>文件状态</t>
  </si>
  <si>
    <t>规划工期(天)</t>
  </si>
  <si>
    <t>开始日期</t>
  </si>
  <si>
    <t>结束日期</t>
  </si>
  <si>
    <t>实际开始日期</t>
  </si>
  <si>
    <t>实际结束日期</t>
  </si>
  <si>
    <t>备注/产出</t>
  </si>
  <si>
    <t>阶段一</t>
  </si>
  <si>
    <t>第一阶段：基础可用版</t>
  </si>
  <si>
    <t>规划中</t>
  </si>
  <si>
    <t>目标：替代Excel，形成内部可试用版本；重点是问题录入、图片/附件、导入、筛选、权限基础与闭环。</t>
  </si>
  <si>
    <t>1.1</t>
  </si>
  <si>
    <t>需求调研与范围确认</t>
  </si>
  <si>
    <t>需求梳理与总体规划（痛点、角色、模块清单）</t>
  </si>
  <si>
    <t>已完成</t>
  </si>
  <si>
    <t>输出基础需求与主链路：登录→总览→台账→详情→导入→项目视图</t>
  </si>
  <si>
    <t>1.2</t>
  </si>
  <si>
    <t>页面与交互设计</t>
  </si>
  <si>
    <t>页面结构与交互设计（Web后台核心页面）</t>
  </si>
  <si>
    <t>登录页、运营总览、问题台账、详情、导入中心、项目中心、401页面</t>
  </si>
  <si>
    <t>1.3</t>
  </si>
  <si>
    <t>详细设计</t>
  </si>
  <si>
    <t>技术方案与数据库/API/权限方案定稿</t>
  </si>
  <si>
    <t>Vue3+Vite+Element Plus；JWT；MySQL；项目授权；Docker编排</t>
  </si>
  <si>
    <t>1.4</t>
  </si>
  <si>
    <t>代码开发</t>
  </si>
  <si>
    <t>登录鉴权与权限基础开发</t>
  </si>
  <si>
    <t>登录/退出/当前用户/JWT/黑名单；管理员初始化；普通用户项目授权</t>
  </si>
  <si>
    <t>1.5</t>
  </si>
  <si>
    <t>运营总览开发</t>
  </si>
  <si>
    <t>统计卡、最近问题、导入摘要、项目卡片、跳转联动</t>
  </si>
  <si>
    <t>1.6</t>
  </si>
  <si>
    <t>问题台账基础开发（新增/编辑/分页/筛选/搜索）</t>
  </si>
  <si>
    <t>项目/状态/闭环/负责人/分类/时间筛选；关键字搜索；问题编号自动生成</t>
  </si>
  <si>
    <t>1.7</t>
  </si>
  <si>
    <t>问题详情闭环开发（时间线、处理记录、关闭/重开）</t>
  </si>
  <si>
    <t>处理结论、归因、原因详情、预防措施、复用标签、纳入知识库</t>
  </si>
  <si>
    <t>1.8</t>
  </si>
  <si>
    <t>Excel导入中心开发</t>
  </si>
  <si>
    <t>上传xlsx、解析预览、行分类、人工确认、编辑标准化结果、整批入库、去重</t>
  </si>
  <si>
    <t>1.9</t>
  </si>
  <si>
    <t>项目中心与基础数据初始化</t>
  </si>
  <si>
    <t>客户/项目组/项目三级结构、联系人、质保、授权项目可见、自动建表补字段</t>
  </si>
  <si>
    <t>1.10</t>
  </si>
  <si>
    <t>新建问题记录规则、客户分类库、问题分类规则补充</t>
  </si>
  <si>
    <t>今天补充完成；为后续知识库与AI分类打基础</t>
  </si>
  <si>
    <t>1.11</t>
  </si>
  <si>
    <t>新建规则入库，页面验收</t>
  </si>
  <si>
    <t>已完成规则字段入库、导入/筛选/追溯/闭环和项目归并；</t>
  </si>
  <si>
    <t>1.12</t>
  </si>
  <si>
    <r>
      <rPr>
        <sz val="10"/>
        <rFont val="宋体"/>
        <charset val="134"/>
      </rPr>
      <t>图片/附件上传能力补强；用户</t>
    </r>
    <r>
      <rPr>
        <sz val="10"/>
        <rFont val="Carlito"/>
        <charset val="134"/>
      </rPr>
      <t>/</t>
    </r>
    <r>
      <rPr>
        <sz val="10"/>
        <rFont val="宋体"/>
        <charset val="134"/>
      </rPr>
      <t>角色</t>
    </r>
    <r>
      <rPr>
        <sz val="10"/>
        <rFont val="Carlito"/>
        <charset val="134"/>
      </rPr>
      <t>/</t>
    </r>
    <r>
      <rPr>
        <sz val="10"/>
        <rFont val="宋体"/>
        <charset val="134"/>
      </rPr>
      <t>权限管理页面</t>
    </r>
  </si>
  <si>
    <t>图片/附件能力待补强；补独立页面：用户管理、角色管理、项目授权、临时账号</t>
  </si>
  <si>
    <t>1.13</t>
  </si>
  <si>
    <r>
      <rPr>
        <sz val="10"/>
        <rFont val="宋体"/>
        <charset val="134"/>
      </rPr>
      <t>项目中心新增</t>
    </r>
    <r>
      <rPr>
        <sz val="10"/>
        <rFont val="Carlito"/>
        <charset val="134"/>
      </rPr>
      <t>/</t>
    </r>
    <r>
      <rPr>
        <sz val="10"/>
        <rFont val="宋体"/>
        <charset val="134"/>
      </rPr>
      <t>编辑</t>
    </r>
    <r>
      <rPr>
        <sz val="10"/>
        <rFont val="Carlito"/>
        <charset val="134"/>
      </rPr>
      <t>/</t>
    </r>
    <r>
      <rPr>
        <sz val="10"/>
        <rFont val="宋体"/>
        <charset val="134"/>
      </rPr>
      <t>禁用功能</t>
    </r>
  </si>
  <si>
    <t>从查看型升级为新增/编辑/禁用等功能；合同部分增加导入；</t>
  </si>
  <si>
    <t>1.14</t>
  </si>
  <si>
    <t>单模块测试</t>
  </si>
  <si>
    <t>第一阶段单模块测试与问题修复</t>
  </si>
  <si>
    <t>登录、台账、详情、导入、项目、权限、附件逐项测试</t>
  </si>
  <si>
    <t>1.15</t>
  </si>
  <si>
    <t>系统测试与部署</t>
  </si>
  <si>
    <t>第一阶段系统测试与内部试用部署</t>
  </si>
  <si>
    <t>跑通：录入→处理→关闭→筛选→导入→追溯；形成内部试用版</t>
  </si>
  <si>
    <t>阶段二</t>
  </si>
  <si>
    <t>第二阶段：知识复用版</t>
  </si>
  <si>
    <t>待开始</t>
  </si>
  <si>
    <t>目标：从问题台账升级为经验复用系统；重点是iFix知识库、故障代码、标签、高级检索和报告基础。</t>
  </si>
  <si>
    <t>2.1</t>
  </si>
  <si>
    <t>需求确认</t>
  </si>
  <si>
    <t>知识库与故障代码规则确认</t>
  </si>
  <si>
    <t>延期</t>
  </si>
  <si>
    <t>确认故障代码、知识库内容、分类口径</t>
  </si>
  <si>
    <t>2.2</t>
  </si>
  <si>
    <t>页面与交互设计和详细设计</t>
  </si>
  <si>
    <t>iFix知识库页面与数据模型设计</t>
  </si>
  <si>
    <t>知识条目、排查步骤、处理方案、预防措施、关联案例</t>
  </si>
  <si>
    <t>2.3</t>
  </si>
  <si>
    <t>标签体系与故障代码管理</t>
  </si>
  <si>
    <t>COM/DEV/CFG/SW/PWR等故障代码；标签维护</t>
  </si>
  <si>
    <t>2.4</t>
  </si>
  <si>
    <t>高级检索开发（关键词+标签+故障代码）</t>
  </si>
  <si>
    <t>第二阶段从筛选升级为体系化检索</t>
  </si>
  <si>
    <t>2.5</t>
  </si>
  <si>
    <t>问题关闭后沉淀知识库案例</t>
  </si>
  <si>
    <t>从已关闭问题生成/关联知识库，支持人工确认</t>
  </si>
  <si>
    <t>2.6</t>
  </si>
  <si>
    <t>相似案例推荐优化</t>
  </si>
  <si>
    <t>规则打分升级，关联知识库与历史问题</t>
  </si>
  <si>
    <t>2.7</t>
  </si>
  <si>
    <t>台账批量操作与导出基础</t>
  </si>
  <si>
    <t>批量编辑、批量关闭、基础导出</t>
  </si>
  <si>
    <t>2.8</t>
  </si>
  <si>
    <t>响应式适配与现场简化录入页</t>
  </si>
  <si>
    <t>优先适配iPad/手机浏览器，暂不强制APP</t>
  </si>
  <si>
    <t>2.9</t>
  </si>
  <si>
    <t>第二阶段测试、验收与部署</t>
  </si>
  <si>
    <t>检索、知识库、标签、故障代码、导出全流程验收</t>
  </si>
  <si>
    <t>阶段三</t>
  </si>
  <si>
    <t>第三阶段：AI智能增强版</t>
  </si>
  <si>
    <t>目标：AI辅助录入、智能分类、相似案例推荐与报告生成；先用API封装，后续模型可替换。</t>
  </si>
  <si>
    <t>3.1</t>
  </si>
  <si>
    <t>AI功能范围与模型接口封装</t>
  </si>
  <si>
    <t>通义/豆包/DeepSeek等可替换；统一AI调用层</t>
  </si>
  <si>
    <t>3.2</t>
  </si>
  <si>
    <t>AI辅助录入与字段提取</t>
  </si>
  <si>
    <t>自然语言提取客户、项目、设备、现象、原因、处理方案</t>
  </si>
  <si>
    <t>3.3</t>
  </si>
  <si>
    <t>AI自动分类与缺失字段提示</t>
  </si>
  <si>
    <t>分类建议必须人工确认，避免AI直接写最终结论</t>
  </si>
  <si>
    <t>3.4</t>
  </si>
  <si>
    <t>AI相似案例推荐与知识库问答</t>
  </si>
  <si>
    <t>第三阶段从检索升级为AI智能检索/推荐</t>
  </si>
  <si>
    <t>3.5</t>
  </si>
  <si>
    <t>AI报告生成与Word/PDF导出</t>
  </si>
  <si>
    <t>运维报告、调试报告、客户汇报、内部复盘</t>
  </si>
  <si>
    <t>3.6</t>
  </si>
  <si>
    <t>单元测试</t>
  </si>
  <si>
    <t>AI功能测试、成本与权限控制</t>
  </si>
  <si>
    <t>准确性、异常、调用日志、费用、权限</t>
  </si>
  <si>
    <t>3.7</t>
  </si>
  <si>
    <t>最终系统测试、部署与阶段复盘</t>
  </si>
  <si>
    <t>上线试用、反馈收集、下一阶段优化清单</t>
  </si>
  <si>
    <t>图例</t>
  </si>
  <si>
    <t>计划工期</t>
  </si>
  <si>
    <t>实际完成</t>
  </si>
  <si>
    <t>阶段标题使用深蓝色横条分隔，方便一眼区分第一阶段/第二阶段/第三阶段。</t>
  </si>
  <si>
    <t>运维问题库平台阶段规划说明</t>
  </si>
  <si>
    <t>正式名称</t>
  </si>
  <si>
    <t>周期</t>
  </si>
  <si>
    <t>核心目标</t>
  </si>
  <si>
    <t>重点能力</t>
  </si>
  <si>
    <t>当前判断</t>
  </si>
  <si>
    <t>基础可用版</t>
  </si>
  <si>
    <t>2026-05-26 ~ 2026-06-15</t>
  </si>
  <si>
    <t>替代Excel，形成内部可试用版本</t>
  </si>
  <si>
    <t>问题录入、图片/附件、导入、筛选、权限基础、闭环</t>
  </si>
  <si>
    <t>主链路已完成，剩余权限页面、项目维护、附件完善、阶段测试</t>
  </si>
  <si>
    <t>知识复用版</t>
  </si>
  <si>
    <t>2026-06-16 ~ 2026-07-05</t>
  </si>
  <si>
    <t>从记录问题升级为复用经验</t>
  </si>
  <si>
    <t>iFix知识库、标签、故障代码、高级检索、相似案例</t>
  </si>
  <si>
    <t>建议用3周集中完成</t>
  </si>
  <si>
    <t>AI智能增强版</t>
  </si>
  <si>
    <t>2026-07-06 ~ 2026-07-24</t>
  </si>
  <si>
    <t>AI辅助录入、推荐和报告生成</t>
  </si>
  <si>
    <t>AI字段提取、自动分类、相似案例、报告生成</t>
  </si>
  <si>
    <t>建议先API封装，保留模型可替换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</si>
</sst>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  <numFmt numFmtId="177" formatCode="yyyy\-mm\-dd"/>
  </numFmts>
  <fonts count="3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宋体"/>
      <charset val="134"/>
    </font>
    <font>
      <sz val="10"/>
      <color rgb="FF064E3B"/>
      <name val="Carlito"/>
      <charset val="134"/>
    </font>
    <font>
      <b/>
      <sz val="9"/>
      <color rgb="FF065F46"/>
      <name val="Carlito"/>
      <charset val="134"/>
    </font>
    <font>
      <b/>
      <sz val="8"/>
      <color rgb="FF374151"/>
      <name val="Carlito"/>
      <charset val="134"/>
    </font>
    <font>
      <b/>
      <sz val="12"/>
      <color rgb="FFFFFFFF"/>
      <name val="Carlito"/>
      <charset val="134"/>
    </font>
    <font>
      <sz val="10"/>
      <name val="Carlito"/>
      <charset val="134"/>
    </font>
    <font>
      <sz val="10"/>
      <name val="宋体"/>
      <charset val="134"/>
    </font>
    <font>
      <b/>
      <sz val="12"/>
      <color rgb="FFFFFFFF"/>
      <name val="宋体"/>
      <charset val="134"/>
    </font>
    <font>
      <b/>
      <sz val="11"/>
      <name val="Carlito"/>
      <charset val="134"/>
    </font>
    <font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B4F6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5" borderId="4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/>
    </xf>
    <xf numFmtId="0" fontId="4" fillId="4" borderId="0" xfId="49" applyNumberFormat="1" applyFont="1" applyFill="1" applyBorder="1" applyAlignment="1">
      <alignment wrapText="1"/>
    </xf>
    <xf numFmtId="0" fontId="5" fillId="5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 vertical="center"/>
    </xf>
    <xf numFmtId="176" fontId="6" fillId="6" borderId="0" xfId="49" applyNumberFormat="1" applyFont="1" applyFill="1" applyBorder="1" applyAlignment="1">
      <alignment horizontal="center"/>
    </xf>
    <xf numFmtId="0" fontId="7" fillId="7" borderId="0" xfId="49" applyNumberFormat="1" applyFont="1" applyFill="1" applyBorder="1" applyAlignment="1">
      <alignment vertical="center" wrapText="1"/>
    </xf>
    <xf numFmtId="177" fontId="7" fillId="7" borderId="0" xfId="49" applyNumberFormat="1" applyFont="1" applyFill="1" applyBorder="1" applyAlignment="1">
      <alignment vertical="center" wrapText="1"/>
    </xf>
    <xf numFmtId="0" fontId="0" fillId="8" borderId="0" xfId="49" applyNumberFormat="1" applyFont="1" applyFill="1" applyBorder="1"/>
    <xf numFmtId="0" fontId="8" fillId="9" borderId="0" xfId="49" applyNumberFormat="1" applyFont="1" applyFill="1" applyBorder="1" applyAlignment="1">
      <alignment horizontal="center" vertical="center" wrapText="1"/>
    </xf>
    <xf numFmtId="0" fontId="9" fillId="9" borderId="0" xfId="49" applyNumberFormat="1" applyFont="1" applyFill="1" applyBorder="1" applyAlignment="1">
      <alignment vertical="center" wrapText="1"/>
    </xf>
    <xf numFmtId="0" fontId="8" fillId="9" borderId="0" xfId="49" applyNumberFormat="1" applyFont="1" applyFill="1" applyBorder="1" applyAlignment="1">
      <alignment vertical="center" wrapText="1"/>
    </xf>
    <xf numFmtId="177" fontId="8" fillId="9" borderId="0" xfId="49" applyNumberFormat="1" applyFont="1" applyFill="1" applyBorder="1" applyAlignment="1">
      <alignment vertical="center" wrapText="1"/>
    </xf>
    <xf numFmtId="0" fontId="8" fillId="10" borderId="0" xfId="49" applyNumberFormat="1" applyFont="1" applyFill="1" applyBorder="1" applyAlignment="1">
      <alignment horizontal="center" vertical="center" wrapText="1"/>
    </xf>
    <xf numFmtId="0" fontId="9" fillId="10" borderId="0" xfId="49" applyNumberFormat="1" applyFont="1" applyFill="1" applyBorder="1" applyAlignment="1">
      <alignment vertical="center" wrapText="1"/>
    </xf>
    <xf numFmtId="0" fontId="8" fillId="10" borderId="0" xfId="49" applyNumberFormat="1" applyFont="1" applyFill="1" applyBorder="1" applyAlignment="1">
      <alignment vertical="center" wrapText="1"/>
    </xf>
    <xf numFmtId="177" fontId="8" fillId="10" borderId="0" xfId="49" applyNumberFormat="1" applyFont="1" applyFill="1" applyBorder="1" applyAlignment="1">
      <alignment vertical="center" wrapText="1"/>
    </xf>
    <xf numFmtId="0" fontId="10" fillId="7" borderId="0" xfId="49" applyNumberFormat="1" applyFont="1" applyFill="1" applyBorder="1" applyAlignment="1">
      <alignment vertical="center" wrapText="1"/>
    </xf>
    <xf numFmtId="0" fontId="11" fillId="0" borderId="0" xfId="49" applyNumberFormat="1" applyFont="1" applyFill="1" applyBorder="1"/>
    <xf numFmtId="0" fontId="0" fillId="11" borderId="0" xfId="49" applyNumberFormat="1" applyFont="1" applyFill="1" applyBorder="1" applyAlignment="1">
      <alignment horizontal="center"/>
    </xf>
    <xf numFmtId="0" fontId="12" fillId="12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374151"/>
      </font>
      <fill>
        <patternFill patternType="solid">
          <bgColor rgb="FFF3F4F6"/>
        </patternFill>
      </fill>
    </dxf>
    <dxf>
      <fill>
        <patternFill patternType="solid">
          <bgColor rgb="FFD1D5DB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BFDB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42"/>
  <sheetViews>
    <sheetView tabSelected="1" topLeftCell="A12" workbookViewId="0">
      <selection activeCell="H22" sqref="H22"/>
    </sheetView>
  </sheetViews>
  <sheetFormatPr defaultColWidth="9" defaultRowHeight="13.8"/>
  <cols>
    <col min="1" max="1" width="10" customWidth="1"/>
    <col min="2" max="2" width="20" customWidth="1"/>
    <col min="3" max="3" width="38" customWidth="1"/>
    <col min="4" max="5" width="12" customWidth="1"/>
    <col min="6" max="9" width="13" customWidth="1"/>
    <col min="10" max="10" width="48" customWidth="1"/>
    <col min="11" max="77" width="4" customWidth="1"/>
  </cols>
  <sheetData>
    <row r="1" ht="30" customHeight="1" spans="1:7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</row>
    <row r="3" spans="1:77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</row>
    <row r="4" spans="1:77">
      <c r="K4" s="8" t="s">
        <v>4</v>
      </c>
      <c r="L4" s="8" t="s">
        <v>5</v>
      </c>
      <c r="M4" s="8" t="s">
        <v>5</v>
      </c>
      <c r="N4" s="8" t="s">
        <v>5</v>
      </c>
      <c r="O4" s="8" t="s">
        <v>5</v>
      </c>
      <c r="P4" s="8" t="s">
        <v>5</v>
      </c>
      <c r="Q4" s="8" t="s">
        <v>6</v>
      </c>
      <c r="R4" s="8" t="s">
        <v>5</v>
      </c>
      <c r="S4" s="8" t="s">
        <v>5</v>
      </c>
      <c r="T4" s="8" t="s">
        <v>5</v>
      </c>
      <c r="U4" s="8" t="s">
        <v>5</v>
      </c>
      <c r="V4" s="8" t="s">
        <v>5</v>
      </c>
      <c r="W4" s="8" t="s">
        <v>5</v>
      </c>
      <c r="X4" s="8" t="s">
        <v>5</v>
      </c>
      <c r="Y4" s="8" t="s">
        <v>5</v>
      </c>
      <c r="Z4" s="8" t="s">
        <v>5</v>
      </c>
      <c r="AA4" s="8" t="s">
        <v>5</v>
      </c>
      <c r="AB4" s="8" t="s">
        <v>5</v>
      </c>
      <c r="AC4" s="8" t="s">
        <v>5</v>
      </c>
      <c r="AD4" s="8" t="s">
        <v>5</v>
      </c>
      <c r="AE4" s="8" t="s">
        <v>5</v>
      </c>
      <c r="AF4" s="8" t="s">
        <v>5</v>
      </c>
      <c r="AG4" s="8" t="s">
        <v>5</v>
      </c>
      <c r="AH4" s="8" t="s">
        <v>5</v>
      </c>
      <c r="AI4" s="8" t="s">
        <v>5</v>
      </c>
      <c r="AJ4" s="8" t="s">
        <v>5</v>
      </c>
      <c r="AK4" s="8" t="s">
        <v>5</v>
      </c>
      <c r="AL4" s="8" t="s">
        <v>5</v>
      </c>
      <c r="AM4" s="8" t="s">
        <v>5</v>
      </c>
      <c r="AN4" s="8" t="s">
        <v>5</v>
      </c>
      <c r="AO4" s="8" t="s">
        <v>5</v>
      </c>
      <c r="AP4" s="8" t="s">
        <v>5</v>
      </c>
      <c r="AQ4" s="8" t="s">
        <v>5</v>
      </c>
      <c r="AR4" s="8" t="s">
        <v>5</v>
      </c>
      <c r="AS4" s="8" t="s">
        <v>5</v>
      </c>
      <c r="AT4" s="8" t="s">
        <v>5</v>
      </c>
      <c r="AU4" s="8" t="s">
        <v>7</v>
      </c>
      <c r="AV4" s="8" t="s">
        <v>5</v>
      </c>
      <c r="AW4" s="8" t="s">
        <v>5</v>
      </c>
      <c r="AX4" s="8" t="s">
        <v>5</v>
      </c>
      <c r="AY4" s="8" t="s">
        <v>5</v>
      </c>
      <c r="AZ4" s="8" t="s">
        <v>5</v>
      </c>
      <c r="BA4" s="8" t="s">
        <v>5</v>
      </c>
      <c r="BB4" s="8" t="s">
        <v>5</v>
      </c>
      <c r="BC4" s="8" t="s">
        <v>5</v>
      </c>
      <c r="BD4" s="8" t="s">
        <v>5</v>
      </c>
      <c r="BE4" s="8" t="s">
        <v>5</v>
      </c>
      <c r="BF4" s="8" t="s">
        <v>5</v>
      </c>
      <c r="BG4" s="8" t="s">
        <v>5</v>
      </c>
      <c r="BH4" s="8" t="s">
        <v>5</v>
      </c>
      <c r="BI4" s="8" t="s">
        <v>5</v>
      </c>
      <c r="BJ4" s="8" t="s">
        <v>5</v>
      </c>
      <c r="BK4" s="8" t="s">
        <v>5</v>
      </c>
      <c r="BL4" s="8" t="s">
        <v>5</v>
      </c>
      <c r="BM4" s="8" t="s">
        <v>5</v>
      </c>
      <c r="BN4" s="8" t="s">
        <v>5</v>
      </c>
      <c r="BO4" s="8" t="s">
        <v>5</v>
      </c>
      <c r="BP4" s="8" t="s">
        <v>5</v>
      </c>
      <c r="BQ4" s="8" t="s">
        <v>5</v>
      </c>
      <c r="BR4" s="8" t="s">
        <v>5</v>
      </c>
      <c r="BS4" s="8" t="s">
        <v>5</v>
      </c>
      <c r="BT4" s="8" t="s">
        <v>5</v>
      </c>
      <c r="BU4" s="8" t="s">
        <v>5</v>
      </c>
      <c r="BV4" s="8" t="s">
        <v>5</v>
      </c>
      <c r="BW4" s="8" t="s">
        <v>5</v>
      </c>
      <c r="BX4" s="8" t="s">
        <v>5</v>
      </c>
      <c r="BY4" s="8" t="s">
        <v>5</v>
      </c>
    </row>
    <row r="5" ht="24" customHeight="1" spans="1:77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10">
        <v>46168</v>
      </c>
      <c r="L5" s="10">
        <v>46169</v>
      </c>
      <c r="M5" s="10">
        <v>46170</v>
      </c>
      <c r="N5" s="10">
        <v>46171</v>
      </c>
      <c r="O5" s="10">
        <v>46172</v>
      </c>
      <c r="P5" s="10">
        <v>46173</v>
      </c>
      <c r="Q5" s="10">
        <v>46174</v>
      </c>
      <c r="R5" s="10">
        <v>46175</v>
      </c>
      <c r="S5" s="10">
        <v>46176</v>
      </c>
      <c r="T5" s="10">
        <v>46177</v>
      </c>
      <c r="U5" s="10">
        <v>46178</v>
      </c>
      <c r="V5" s="10">
        <v>46179</v>
      </c>
      <c r="W5" s="10">
        <v>46180</v>
      </c>
      <c r="X5" s="10">
        <v>46181</v>
      </c>
      <c r="Y5" s="10">
        <v>46182</v>
      </c>
      <c r="Z5" s="10">
        <v>46183</v>
      </c>
      <c r="AA5" s="10">
        <v>46184</v>
      </c>
      <c r="AB5" s="10">
        <v>46185</v>
      </c>
      <c r="AC5" s="10">
        <v>46186</v>
      </c>
      <c r="AD5" s="10">
        <v>46187</v>
      </c>
      <c r="AE5" s="10">
        <v>46188</v>
      </c>
      <c r="AF5" s="10">
        <v>46189</v>
      </c>
      <c r="AG5" s="10">
        <v>46190</v>
      </c>
      <c r="AH5" s="10">
        <v>46191</v>
      </c>
      <c r="AI5" s="10">
        <v>46192</v>
      </c>
      <c r="AJ5" s="10">
        <v>46193</v>
      </c>
      <c r="AK5" s="10">
        <v>46194</v>
      </c>
      <c r="AL5" s="10">
        <v>46195</v>
      </c>
      <c r="AM5" s="10">
        <v>46196</v>
      </c>
      <c r="AN5" s="10">
        <v>46197</v>
      </c>
      <c r="AO5" s="10">
        <v>46198</v>
      </c>
      <c r="AP5" s="10">
        <v>46199</v>
      </c>
      <c r="AQ5" s="10">
        <v>46200</v>
      </c>
      <c r="AR5" s="10">
        <v>46201</v>
      </c>
      <c r="AS5" s="10">
        <v>46202</v>
      </c>
      <c r="AT5" s="10">
        <v>46203</v>
      </c>
      <c r="AU5" s="10">
        <v>46204</v>
      </c>
      <c r="AV5" s="10">
        <v>46205</v>
      </c>
      <c r="AW5" s="10">
        <v>46206</v>
      </c>
      <c r="AX5" s="10">
        <v>46207</v>
      </c>
      <c r="AY5" s="10">
        <v>46208</v>
      </c>
      <c r="AZ5" s="10">
        <v>46209</v>
      </c>
      <c r="BA5" s="10">
        <v>46210</v>
      </c>
      <c r="BB5" s="10">
        <v>46211</v>
      </c>
      <c r="BC5" s="10">
        <v>46212</v>
      </c>
      <c r="BD5" s="10">
        <v>46213</v>
      </c>
      <c r="BE5" s="10">
        <v>46214</v>
      </c>
      <c r="BF5" s="10">
        <v>46215</v>
      </c>
      <c r="BG5" s="10">
        <v>46216</v>
      </c>
      <c r="BH5" s="10">
        <v>46217</v>
      </c>
      <c r="BI5" s="10">
        <v>46218</v>
      </c>
      <c r="BJ5" s="10">
        <v>46219</v>
      </c>
      <c r="BK5" s="10">
        <v>46220</v>
      </c>
      <c r="BL5" s="10">
        <v>46221</v>
      </c>
      <c r="BM5" s="10">
        <v>46222</v>
      </c>
      <c r="BN5" s="10">
        <v>46223</v>
      </c>
      <c r="BO5" s="10">
        <v>46224</v>
      </c>
      <c r="BP5" s="10">
        <v>46225</v>
      </c>
      <c r="BQ5" s="10">
        <v>46226</v>
      </c>
      <c r="BR5" s="10">
        <v>46227</v>
      </c>
      <c r="BS5" s="10">
        <v>46228</v>
      </c>
      <c r="BT5" s="10">
        <v>46229</v>
      </c>
      <c r="BU5" s="10">
        <v>46230</v>
      </c>
      <c r="BV5" s="10">
        <v>46231</v>
      </c>
      <c r="BW5" s="10">
        <v>46232</v>
      </c>
      <c r="BX5" s="10">
        <v>46233</v>
      </c>
      <c r="BY5" s="10">
        <v>46234</v>
      </c>
    </row>
    <row r="6" ht="36" customHeight="1" spans="1:77">
      <c r="A6" s="11" t="s">
        <v>18</v>
      </c>
      <c r="B6" s="11" t="s">
        <v>19</v>
      </c>
      <c r="C6" s="11" t="s">
        <v>19</v>
      </c>
      <c r="D6" s="11" t="s">
        <v>20</v>
      </c>
      <c r="E6" s="11">
        <v>21</v>
      </c>
      <c r="F6" s="12">
        <v>46168</v>
      </c>
      <c r="G6" s="12">
        <v>46188</v>
      </c>
      <c r="H6" s="12"/>
      <c r="I6" s="12"/>
      <c r="J6" s="11" t="s">
        <v>21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</row>
    <row r="7" ht="27" customHeight="1" spans="1:77">
      <c r="A7" s="14" t="s">
        <v>22</v>
      </c>
      <c r="B7" s="15" t="s">
        <v>23</v>
      </c>
      <c r="C7" s="16" t="s">
        <v>24</v>
      </c>
      <c r="D7" s="16" t="s">
        <v>25</v>
      </c>
      <c r="E7" s="16">
        <v>2</v>
      </c>
      <c r="F7" s="17">
        <v>46168</v>
      </c>
      <c r="G7" s="17">
        <f t="shared" ref="G7:G21" si="0">IF(OR(F7="",E7=""),"",F7+E7-1)</f>
        <v>46169</v>
      </c>
      <c r="H7" s="17">
        <v>46168</v>
      </c>
      <c r="I7" s="17">
        <v>46169</v>
      </c>
      <c r="J7" s="16" t="s">
        <v>26</v>
      </c>
    </row>
    <row r="8" ht="27" customHeight="1" spans="1:77">
      <c r="A8" s="18" t="s">
        <v>27</v>
      </c>
      <c r="B8" s="19" t="s">
        <v>28</v>
      </c>
      <c r="C8" s="20" t="s">
        <v>29</v>
      </c>
      <c r="D8" s="20" t="s">
        <v>25</v>
      </c>
      <c r="E8" s="20">
        <v>2</v>
      </c>
      <c r="F8" s="21">
        <v>46169</v>
      </c>
      <c r="G8" s="21">
        <f t="shared" si="0"/>
        <v>46170</v>
      </c>
      <c r="H8" s="21">
        <v>46169</v>
      </c>
      <c r="I8" s="21">
        <v>46170</v>
      </c>
      <c r="J8" s="20" t="s">
        <v>30</v>
      </c>
    </row>
    <row r="9" ht="27" customHeight="1" spans="1:77">
      <c r="A9" s="14" t="s">
        <v>31</v>
      </c>
      <c r="B9" s="15" t="s">
        <v>32</v>
      </c>
      <c r="C9" s="16" t="s">
        <v>33</v>
      </c>
      <c r="D9" s="16" t="s">
        <v>25</v>
      </c>
      <c r="E9" s="16">
        <v>2</v>
      </c>
      <c r="F9" s="17">
        <v>46170</v>
      </c>
      <c r="G9" s="17">
        <f t="shared" si="0"/>
        <v>46171</v>
      </c>
      <c r="H9" s="17">
        <v>46170</v>
      </c>
      <c r="I9" s="17">
        <v>46171</v>
      </c>
      <c r="J9" s="16" t="s">
        <v>34</v>
      </c>
    </row>
    <row r="10" ht="27" customHeight="1" spans="1:77">
      <c r="A10" s="18" t="s">
        <v>35</v>
      </c>
      <c r="B10" s="19" t="s">
        <v>36</v>
      </c>
      <c r="C10" s="20" t="s">
        <v>37</v>
      </c>
      <c r="D10" s="20" t="s">
        <v>25</v>
      </c>
      <c r="E10" s="20">
        <v>3</v>
      </c>
      <c r="F10" s="21">
        <v>46171</v>
      </c>
      <c r="G10" s="21">
        <f t="shared" si="0"/>
        <v>46173</v>
      </c>
      <c r="H10" s="21">
        <v>46171</v>
      </c>
      <c r="I10" s="21">
        <v>46173</v>
      </c>
      <c r="J10" s="20" t="s">
        <v>38</v>
      </c>
    </row>
    <row r="11" ht="27" customHeight="1" spans="1:77">
      <c r="A11" s="14" t="s">
        <v>39</v>
      </c>
      <c r="B11" s="15" t="s">
        <v>36</v>
      </c>
      <c r="C11" s="16" t="s">
        <v>40</v>
      </c>
      <c r="D11" s="16" t="s">
        <v>25</v>
      </c>
      <c r="E11" s="16">
        <v>2</v>
      </c>
      <c r="F11" s="17">
        <v>46172</v>
      </c>
      <c r="G11" s="17">
        <f t="shared" si="0"/>
        <v>46173</v>
      </c>
      <c r="H11" s="17">
        <v>46172</v>
      </c>
      <c r="I11" s="17">
        <v>46174</v>
      </c>
      <c r="J11" s="16" t="s">
        <v>41</v>
      </c>
    </row>
    <row r="12" ht="27" customHeight="1" spans="1:77">
      <c r="A12" s="18" t="s">
        <v>42</v>
      </c>
      <c r="B12" s="19" t="s">
        <v>36</v>
      </c>
      <c r="C12" s="20" t="s">
        <v>43</v>
      </c>
      <c r="D12" s="20" t="s">
        <v>25</v>
      </c>
      <c r="E12" s="20">
        <v>4</v>
      </c>
      <c r="F12" s="21">
        <v>46173</v>
      </c>
      <c r="G12" s="21">
        <f t="shared" si="0"/>
        <v>46176</v>
      </c>
      <c r="H12" s="21">
        <v>46173</v>
      </c>
      <c r="I12" s="21">
        <v>46176</v>
      </c>
      <c r="J12" s="20" t="s">
        <v>44</v>
      </c>
    </row>
    <row r="13" ht="27" customHeight="1" spans="1:77">
      <c r="A13" s="14" t="s">
        <v>45</v>
      </c>
      <c r="B13" s="15" t="s">
        <v>36</v>
      </c>
      <c r="C13" s="16" t="s">
        <v>46</v>
      </c>
      <c r="D13" s="16" t="s">
        <v>25</v>
      </c>
      <c r="E13" s="16">
        <v>3</v>
      </c>
      <c r="F13" s="17">
        <v>46174</v>
      </c>
      <c r="G13" s="17">
        <f t="shared" si="0"/>
        <v>46176</v>
      </c>
      <c r="H13" s="17">
        <v>46174</v>
      </c>
      <c r="I13" s="17">
        <v>46177</v>
      </c>
      <c r="J13" s="16" t="s">
        <v>47</v>
      </c>
    </row>
    <row r="14" ht="27" customHeight="1" spans="1:77">
      <c r="A14" s="18" t="s">
        <v>48</v>
      </c>
      <c r="B14" s="19" t="s">
        <v>36</v>
      </c>
      <c r="C14" s="20" t="s">
        <v>49</v>
      </c>
      <c r="D14" s="20" t="s">
        <v>25</v>
      </c>
      <c r="E14" s="20">
        <v>4</v>
      </c>
      <c r="F14" s="21">
        <v>46174</v>
      </c>
      <c r="G14" s="21">
        <f t="shared" si="0"/>
        <v>46177</v>
      </c>
      <c r="H14" s="21">
        <v>46174</v>
      </c>
      <c r="I14" s="21">
        <v>46177</v>
      </c>
      <c r="J14" s="20" t="s">
        <v>50</v>
      </c>
    </row>
    <row r="15" ht="27" customHeight="1" spans="1:77">
      <c r="A15" s="14" t="s">
        <v>51</v>
      </c>
      <c r="B15" s="15" t="s">
        <v>36</v>
      </c>
      <c r="C15" s="16" t="s">
        <v>52</v>
      </c>
      <c r="D15" s="16" t="s">
        <v>25</v>
      </c>
      <c r="E15" s="16">
        <v>3</v>
      </c>
      <c r="F15" s="17">
        <v>46175</v>
      </c>
      <c r="G15" s="17">
        <f t="shared" si="0"/>
        <v>46177</v>
      </c>
      <c r="H15" s="17">
        <v>46175</v>
      </c>
      <c r="I15" s="17">
        <v>46177</v>
      </c>
      <c r="J15" s="16" t="s">
        <v>53</v>
      </c>
    </row>
    <row r="16" ht="27" customHeight="1" spans="1:77">
      <c r="A16" s="18" t="s">
        <v>54</v>
      </c>
      <c r="B16" s="19" t="s">
        <v>36</v>
      </c>
      <c r="C16" s="20" t="s">
        <v>55</v>
      </c>
      <c r="D16" s="20" t="s">
        <v>25</v>
      </c>
      <c r="E16" s="20">
        <v>1</v>
      </c>
      <c r="F16" s="21">
        <v>46177</v>
      </c>
      <c r="G16" s="21">
        <f t="shared" si="0"/>
        <v>46177</v>
      </c>
      <c r="H16" s="21">
        <v>46177</v>
      </c>
      <c r="I16" s="21">
        <v>46177</v>
      </c>
      <c r="J16" s="20" t="s">
        <v>56</v>
      </c>
    </row>
    <row r="17" ht="27" customHeight="1" spans="1:77">
      <c r="A17" s="14" t="s">
        <v>57</v>
      </c>
      <c r="B17" s="15" t="s">
        <v>36</v>
      </c>
      <c r="C17" s="15" t="s">
        <v>58</v>
      </c>
      <c r="D17" s="16" t="s">
        <v>25</v>
      </c>
      <c r="E17" s="16">
        <v>3</v>
      </c>
      <c r="F17" s="17">
        <v>46178</v>
      </c>
      <c r="G17" s="17">
        <f t="shared" si="0"/>
        <v>46180</v>
      </c>
      <c r="H17" s="17">
        <v>46178</v>
      </c>
      <c r="I17" s="17">
        <v>46178</v>
      </c>
      <c r="J17" s="15" t="s">
        <v>59</v>
      </c>
    </row>
    <row r="18" ht="27" customHeight="1" spans="1:77">
      <c r="A18" s="18" t="s">
        <v>60</v>
      </c>
      <c r="B18" s="19" t="s">
        <v>36</v>
      </c>
      <c r="C18" s="19" t="s">
        <v>61</v>
      </c>
      <c r="D18" s="20" t="s">
        <v>25</v>
      </c>
      <c r="E18" s="20">
        <v>4</v>
      </c>
      <c r="F18" s="21">
        <v>46181</v>
      </c>
      <c r="G18" s="21">
        <f t="shared" si="0"/>
        <v>46184</v>
      </c>
      <c r="H18" s="17">
        <v>46179</v>
      </c>
      <c r="I18" s="17">
        <v>46179</v>
      </c>
      <c r="J18" s="19" t="s">
        <v>62</v>
      </c>
    </row>
    <row r="19" ht="27" customHeight="1" spans="1:77">
      <c r="A19" s="14" t="s">
        <v>63</v>
      </c>
      <c r="B19" s="15" t="s">
        <v>36</v>
      </c>
      <c r="C19" s="15" t="s">
        <v>64</v>
      </c>
      <c r="D19" s="16" t="s">
        <v>25</v>
      </c>
      <c r="E19" s="16">
        <v>3</v>
      </c>
      <c r="F19" s="17">
        <v>46183</v>
      </c>
      <c r="G19" s="17">
        <f t="shared" si="0"/>
        <v>46185</v>
      </c>
      <c r="H19" s="21">
        <v>46181</v>
      </c>
      <c r="I19" s="17">
        <v>46183</v>
      </c>
      <c r="J19" s="15" t="s">
        <v>65</v>
      </c>
    </row>
    <row r="20" ht="27" customHeight="1" spans="1:77">
      <c r="A20" s="18" t="s">
        <v>66</v>
      </c>
      <c r="B20" s="19" t="s">
        <v>67</v>
      </c>
      <c r="C20" s="20" t="s">
        <v>68</v>
      </c>
      <c r="D20" s="20" t="s">
        <v>25</v>
      </c>
      <c r="E20" s="20">
        <v>3</v>
      </c>
      <c r="F20" s="21">
        <v>46185</v>
      </c>
      <c r="G20" s="21">
        <f t="shared" si="0"/>
        <v>46187</v>
      </c>
      <c r="H20" s="17">
        <v>46180</v>
      </c>
      <c r="I20" s="21">
        <v>46185</v>
      </c>
      <c r="J20" s="20" t="s">
        <v>69</v>
      </c>
    </row>
    <row r="21" ht="27" customHeight="1" spans="1:77">
      <c r="A21" s="14" t="s">
        <v>70</v>
      </c>
      <c r="B21" s="15" t="s">
        <v>71</v>
      </c>
      <c r="C21" s="16" t="s">
        <v>72</v>
      </c>
      <c r="D21" s="16" t="s">
        <v>25</v>
      </c>
      <c r="E21" s="16">
        <v>2</v>
      </c>
      <c r="F21" s="17">
        <v>46187</v>
      </c>
      <c r="G21" s="17">
        <f t="shared" si="0"/>
        <v>46188</v>
      </c>
      <c r="H21" s="17">
        <v>46187</v>
      </c>
      <c r="I21" s="17">
        <f>IF(OR(H21="",G21=""),"",H21+G21-1)</f>
        <v>92374</v>
      </c>
      <c r="J21" s="16" t="s">
        <v>73</v>
      </c>
    </row>
    <row r="22" ht="36" customHeight="1" spans="1:77">
      <c r="A22" s="11" t="s">
        <v>74</v>
      </c>
      <c r="B22" s="11" t="s">
        <v>75</v>
      </c>
      <c r="C22" s="11" t="s">
        <v>75</v>
      </c>
      <c r="D22" s="22" t="s">
        <v>76</v>
      </c>
      <c r="E22" s="11">
        <v>20</v>
      </c>
      <c r="F22" s="12">
        <v>46189</v>
      </c>
      <c r="G22" s="12">
        <v>46208</v>
      </c>
      <c r="H22" s="12"/>
      <c r="I22" s="12"/>
      <c r="J22" s="11" t="s">
        <v>77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</row>
    <row r="23" ht="27" customHeight="1" spans="1:77">
      <c r="A23" s="14" t="s">
        <v>78</v>
      </c>
      <c r="B23" s="15" t="s">
        <v>79</v>
      </c>
      <c r="C23" s="16" t="s">
        <v>80</v>
      </c>
      <c r="D23" s="16" t="s">
        <v>81</v>
      </c>
      <c r="E23" s="16">
        <v>2</v>
      </c>
      <c r="F23" s="17">
        <v>46189</v>
      </c>
      <c r="G23" s="17">
        <f t="shared" ref="G23:G31" si="1">IF(OR(F23="",E23=""),"",F23+E23-1)</f>
        <v>46190</v>
      </c>
      <c r="H23" s="17"/>
      <c r="I23" s="17"/>
      <c r="J23" s="16" t="s">
        <v>82</v>
      </c>
    </row>
    <row r="24" ht="27" customHeight="1" spans="1:77">
      <c r="A24" s="18" t="s">
        <v>83</v>
      </c>
      <c r="B24" s="19" t="s">
        <v>84</v>
      </c>
      <c r="C24" s="20" t="s">
        <v>85</v>
      </c>
      <c r="D24" s="20" t="s">
        <v>81</v>
      </c>
      <c r="E24" s="20">
        <v>3</v>
      </c>
      <c r="F24" s="21">
        <v>46191</v>
      </c>
      <c r="G24" s="21">
        <f t="shared" si="1"/>
        <v>46193</v>
      </c>
      <c r="H24" s="21"/>
      <c r="I24" s="21"/>
      <c r="J24" s="20" t="s">
        <v>86</v>
      </c>
    </row>
    <row r="25" ht="27" customHeight="1" spans="1:77">
      <c r="A25" s="14" t="s">
        <v>87</v>
      </c>
      <c r="B25" s="15" t="s">
        <v>36</v>
      </c>
      <c r="C25" s="16" t="s">
        <v>88</v>
      </c>
      <c r="D25" s="20" t="s">
        <v>81</v>
      </c>
      <c r="E25" s="16">
        <v>4</v>
      </c>
      <c r="F25" s="17">
        <v>46193</v>
      </c>
      <c r="G25" s="17">
        <f t="shared" si="1"/>
        <v>46196</v>
      </c>
      <c r="H25" s="17"/>
      <c r="I25" s="17"/>
      <c r="J25" s="16" t="s">
        <v>89</v>
      </c>
    </row>
    <row r="26" ht="27" customHeight="1" spans="1:77">
      <c r="A26" s="18" t="s">
        <v>90</v>
      </c>
      <c r="B26" s="19" t="s">
        <v>36</v>
      </c>
      <c r="C26" s="20" t="s">
        <v>91</v>
      </c>
      <c r="D26" s="20" t="s">
        <v>81</v>
      </c>
      <c r="E26" s="20">
        <v>5</v>
      </c>
      <c r="F26" s="21">
        <v>46197</v>
      </c>
      <c r="G26" s="21">
        <f t="shared" si="1"/>
        <v>46201</v>
      </c>
      <c r="H26" s="21"/>
      <c r="I26" s="21"/>
      <c r="J26" s="20" t="s">
        <v>92</v>
      </c>
    </row>
    <row r="27" ht="27" customHeight="1" spans="1:77">
      <c r="A27" s="14" t="s">
        <v>93</v>
      </c>
      <c r="B27" s="15" t="s">
        <v>36</v>
      </c>
      <c r="C27" s="16" t="s">
        <v>94</v>
      </c>
      <c r="D27" s="20" t="s">
        <v>81</v>
      </c>
      <c r="E27" s="16">
        <v>4</v>
      </c>
      <c r="F27" s="17">
        <v>46201</v>
      </c>
      <c r="G27" s="17">
        <f t="shared" si="1"/>
        <v>46204</v>
      </c>
      <c r="H27" s="17"/>
      <c r="I27" s="17"/>
      <c r="J27" s="16" t="s">
        <v>95</v>
      </c>
    </row>
    <row r="28" ht="27" customHeight="1" spans="1:77">
      <c r="A28" s="18" t="s">
        <v>96</v>
      </c>
      <c r="B28" s="19" t="s">
        <v>36</v>
      </c>
      <c r="C28" s="20" t="s">
        <v>97</v>
      </c>
      <c r="D28" s="20" t="s">
        <v>81</v>
      </c>
      <c r="E28" s="20">
        <v>3</v>
      </c>
      <c r="F28" s="21">
        <v>46204</v>
      </c>
      <c r="G28" s="21">
        <f t="shared" si="1"/>
        <v>46206</v>
      </c>
      <c r="H28" s="21"/>
      <c r="I28" s="21"/>
      <c r="J28" s="20" t="s">
        <v>98</v>
      </c>
    </row>
    <row r="29" ht="27" customHeight="1" spans="1:77">
      <c r="A29" s="14" t="s">
        <v>99</v>
      </c>
      <c r="B29" s="15" t="s">
        <v>36</v>
      </c>
      <c r="C29" s="16" t="s">
        <v>100</v>
      </c>
      <c r="D29" s="20" t="s">
        <v>81</v>
      </c>
      <c r="E29" s="16">
        <v>3</v>
      </c>
      <c r="F29" s="17">
        <v>46205</v>
      </c>
      <c r="G29" s="17">
        <f t="shared" si="1"/>
        <v>46207</v>
      </c>
      <c r="H29" s="17"/>
      <c r="I29" s="17"/>
      <c r="J29" s="16" t="s">
        <v>101</v>
      </c>
    </row>
    <row r="30" ht="27" customHeight="1" spans="1:77">
      <c r="A30" s="18" t="s">
        <v>102</v>
      </c>
      <c r="B30" s="19" t="s">
        <v>36</v>
      </c>
      <c r="C30" s="20" t="s">
        <v>103</v>
      </c>
      <c r="D30" s="20" t="s">
        <v>81</v>
      </c>
      <c r="E30" s="20">
        <v>3</v>
      </c>
      <c r="F30" s="21">
        <v>46206</v>
      </c>
      <c r="G30" s="21">
        <f t="shared" si="1"/>
        <v>46208</v>
      </c>
      <c r="H30" s="21"/>
      <c r="I30" s="21"/>
      <c r="J30" s="20" t="s">
        <v>104</v>
      </c>
    </row>
    <row r="31" ht="27" customHeight="1" spans="1:77">
      <c r="A31" s="14" t="s">
        <v>105</v>
      </c>
      <c r="B31" s="15" t="s">
        <v>71</v>
      </c>
      <c r="C31" s="16" t="s">
        <v>106</v>
      </c>
      <c r="D31" s="20" t="s">
        <v>81</v>
      </c>
      <c r="E31" s="16">
        <v>2</v>
      </c>
      <c r="F31" s="17">
        <v>46207</v>
      </c>
      <c r="G31" s="17">
        <f t="shared" si="1"/>
        <v>46208</v>
      </c>
      <c r="H31" s="17"/>
      <c r="I31" s="17"/>
      <c r="J31" s="16" t="s">
        <v>107</v>
      </c>
    </row>
    <row r="32" ht="36" customHeight="1" spans="1:77">
      <c r="A32" s="11" t="s">
        <v>108</v>
      </c>
      <c r="B32" s="11" t="s">
        <v>109</v>
      </c>
      <c r="C32" s="11" t="s">
        <v>109</v>
      </c>
      <c r="D32" s="11" t="s">
        <v>76</v>
      </c>
      <c r="E32" s="11">
        <v>19</v>
      </c>
      <c r="F32" s="12">
        <v>46209</v>
      </c>
      <c r="G32" s="12">
        <v>46227</v>
      </c>
      <c r="H32" s="12"/>
      <c r="I32" s="12"/>
      <c r="J32" s="11" t="s">
        <v>110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</row>
    <row r="33" ht="27" customHeight="1" spans="1:10">
      <c r="A33" s="14" t="s">
        <v>111</v>
      </c>
      <c r="B33" s="15" t="s">
        <v>36</v>
      </c>
      <c r="C33" s="16" t="s">
        <v>112</v>
      </c>
      <c r="D33" s="20" t="s">
        <v>81</v>
      </c>
      <c r="E33" s="16">
        <v>3</v>
      </c>
      <c r="F33" s="17">
        <v>46209</v>
      </c>
      <c r="G33" s="17">
        <f t="shared" ref="G33:G39" si="2">IF(OR(F33="",E33=""),"",F33+E33-1)</f>
        <v>46211</v>
      </c>
      <c r="H33" s="17"/>
      <c r="I33" s="17"/>
      <c r="J33" s="16" t="s">
        <v>113</v>
      </c>
    </row>
    <row r="34" ht="27" customHeight="1" spans="1:10">
      <c r="A34" s="18" t="s">
        <v>114</v>
      </c>
      <c r="B34" s="19" t="s">
        <v>36</v>
      </c>
      <c r="C34" s="20" t="s">
        <v>115</v>
      </c>
      <c r="D34" s="20" t="s">
        <v>81</v>
      </c>
      <c r="E34" s="20">
        <v>4</v>
      </c>
      <c r="F34" s="21">
        <v>46212</v>
      </c>
      <c r="G34" s="21">
        <f t="shared" si="2"/>
        <v>46215</v>
      </c>
      <c r="H34" s="21"/>
      <c r="I34" s="21"/>
      <c r="J34" s="20" t="s">
        <v>116</v>
      </c>
    </row>
    <row r="35" ht="27" customHeight="1" spans="1:10">
      <c r="A35" s="14" t="s">
        <v>117</v>
      </c>
      <c r="B35" s="15" t="s">
        <v>36</v>
      </c>
      <c r="C35" s="16" t="s">
        <v>118</v>
      </c>
      <c r="D35" s="20" t="s">
        <v>81</v>
      </c>
      <c r="E35" s="16">
        <v>4</v>
      </c>
      <c r="F35" s="17">
        <v>46215</v>
      </c>
      <c r="G35" s="17">
        <f t="shared" si="2"/>
        <v>46218</v>
      </c>
      <c r="H35" s="17"/>
      <c r="I35" s="17"/>
      <c r="J35" s="16" t="s">
        <v>119</v>
      </c>
    </row>
    <row r="36" ht="27" customHeight="1" spans="1:10">
      <c r="A36" s="18" t="s">
        <v>120</v>
      </c>
      <c r="B36" s="19" t="s">
        <v>36</v>
      </c>
      <c r="C36" s="20" t="s">
        <v>121</v>
      </c>
      <c r="D36" s="20" t="s">
        <v>81</v>
      </c>
      <c r="E36" s="20">
        <v>5</v>
      </c>
      <c r="F36" s="21">
        <v>46218</v>
      </c>
      <c r="G36" s="21">
        <f t="shared" si="2"/>
        <v>46222</v>
      </c>
      <c r="H36" s="21"/>
      <c r="I36" s="21"/>
      <c r="J36" s="20" t="s">
        <v>122</v>
      </c>
    </row>
    <row r="37" ht="27" customHeight="1" spans="1:10">
      <c r="A37" s="14" t="s">
        <v>123</v>
      </c>
      <c r="B37" s="15" t="s">
        <v>36</v>
      </c>
      <c r="C37" s="16" t="s">
        <v>124</v>
      </c>
      <c r="D37" s="20" t="s">
        <v>81</v>
      </c>
      <c r="E37" s="16">
        <v>5</v>
      </c>
      <c r="F37" s="17">
        <v>46221</v>
      </c>
      <c r="G37" s="17">
        <f t="shared" si="2"/>
        <v>46225</v>
      </c>
      <c r="H37" s="17"/>
      <c r="I37" s="17"/>
      <c r="J37" s="16" t="s">
        <v>125</v>
      </c>
    </row>
    <row r="38" ht="27" customHeight="1" spans="1:10">
      <c r="A38" s="18" t="s">
        <v>126</v>
      </c>
      <c r="B38" s="19" t="s">
        <v>127</v>
      </c>
      <c r="C38" s="20" t="s">
        <v>128</v>
      </c>
      <c r="D38" s="20" t="s">
        <v>81</v>
      </c>
      <c r="E38" s="20">
        <v>3</v>
      </c>
      <c r="F38" s="21">
        <v>46225</v>
      </c>
      <c r="G38" s="21">
        <f t="shared" si="2"/>
        <v>46227</v>
      </c>
      <c r="H38" s="21"/>
      <c r="I38" s="21"/>
      <c r="J38" s="20" t="s">
        <v>129</v>
      </c>
    </row>
    <row r="39" ht="27" customHeight="1" spans="1:10">
      <c r="A39" s="14" t="s">
        <v>130</v>
      </c>
      <c r="B39" s="15" t="s">
        <v>71</v>
      </c>
      <c r="C39" s="16" t="s">
        <v>131</v>
      </c>
      <c r="D39" s="20" t="s">
        <v>81</v>
      </c>
      <c r="E39" s="16">
        <v>3</v>
      </c>
      <c r="F39" s="17">
        <v>46227</v>
      </c>
      <c r="G39" s="17">
        <f t="shared" si="2"/>
        <v>46229</v>
      </c>
      <c r="H39" s="17"/>
      <c r="I39" s="17"/>
      <c r="J39" s="16" t="s">
        <v>132</v>
      </c>
    </row>
    <row r="42" spans="1:10">
      <c r="A42" s="23" t="s">
        <v>133</v>
      </c>
      <c r="B42" s="24" t="s">
        <v>134</v>
      </c>
      <c r="C42" s="25" t="s">
        <v>135</v>
      </c>
      <c r="D42" t="s">
        <v>136</v>
      </c>
    </row>
  </sheetData>
  <mergeCells count="5">
    <mergeCell ref="A1:J1"/>
    <mergeCell ref="K1:BY1"/>
    <mergeCell ref="A2:J2"/>
    <mergeCell ref="A3:J3"/>
    <mergeCell ref="D42:J42"/>
  </mergeCells>
  <conditionalFormatting sqref="D6:D39">
    <cfRule type="expression" dxfId="0" priority="1">
      <formula>$D6="已完成"</formula>
    </cfRule>
    <cfRule type="expression" dxfId="1" priority="2">
      <formula>$D6="进行中"</formula>
    </cfRule>
    <cfRule type="expression" dxfId="2" priority="3">
      <formula>$D6="待开始"</formula>
    </cfRule>
  </conditionalFormatting>
  <conditionalFormatting sqref="K6:BY39">
    <cfRule type="expression" dxfId="3" priority="5">
      <formula>AND(K$5&gt;=$F6,K$5&lt;=$G6,$A6&lt;&gt;"")</formula>
    </cfRule>
    <cfRule type="expression" dxfId="4" priority="4">
      <formula>AND($H6&lt;&gt;"",$I6&lt;&gt;"",K$5&gt;=$H6,K$5&lt;=$I6)</formula>
    </cfRule>
    <cfRule type="expression" dxfId="5" priority="6">
      <formula>LEFT($A6,2)="阶段"</formula>
    </cfRule>
  </conditionalFormatting>
  <dataValidations count="1">
    <dataValidation type="list" sqref="D32 D6:D24 D25:D31 D33:D39">
      <formula1>"已完成,进行中,待开始,规划中,延期,取消"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49" sqref="B49"/>
    </sheetView>
  </sheetViews>
  <sheetFormatPr defaultColWidth="9" defaultRowHeight="13.8" outlineLevelRow="5" outlineLevelCol="5"/>
  <cols>
    <col min="1" max="1" width="10" customWidth="1"/>
    <col min="2" max="2" width="18" customWidth="1"/>
    <col min="3" max="3" width="24" customWidth="1"/>
    <col min="4" max="6" width="36" customWidth="1"/>
  </cols>
  <sheetData>
    <row r="1" ht="30" customHeight="1" spans="1:6">
      <c r="A1" s="1" t="s">
        <v>137</v>
      </c>
    </row>
    <row r="3" spans="1:6">
      <c r="A3" s="2" t="s">
        <v>9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</row>
    <row r="4" ht="28.8" spans="1:6">
      <c r="A4" s="3" t="s">
        <v>18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</row>
    <row r="5" ht="28.8" spans="1:6">
      <c r="A5" s="3" t="s">
        <v>74</v>
      </c>
      <c r="B5" s="3" t="s">
        <v>148</v>
      </c>
      <c r="C5" s="3" t="s">
        <v>149</v>
      </c>
      <c r="D5" s="3" t="s">
        <v>150</v>
      </c>
      <c r="E5" s="3" t="s">
        <v>151</v>
      </c>
      <c r="F5" s="3" t="s">
        <v>152</v>
      </c>
    </row>
    <row r="6" ht="28.8" spans="1:6">
      <c r="A6" s="3" t="s">
        <v>108</v>
      </c>
      <c r="B6" s="3" t="s">
        <v>153</v>
      </c>
      <c r="C6" s="3" t="s">
        <v>154</v>
      </c>
      <c r="D6" s="3" t="s">
        <v>155</v>
      </c>
      <c r="E6" s="3" t="s">
        <v>156</v>
      </c>
      <c r="F6" s="3" t="s">
        <v>157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动态甘特图</vt:lpstr>
      <vt:lpstr>阶段规划说明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2026-06-04T12:57:00Z</dcterms:created>
  <dcterms:modified xsi:type="dcterms:W3CDTF">2026-07-05T14:18:31Z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9D82FCD3B8804EE3958140D184BDC02D_13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