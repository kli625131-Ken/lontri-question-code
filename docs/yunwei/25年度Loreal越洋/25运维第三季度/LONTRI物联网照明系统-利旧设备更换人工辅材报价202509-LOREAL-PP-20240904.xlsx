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5300" activeTab="1"/>
  </bookViews>
  <sheets>
    <sheet name="Sheet1" sheetId="1" r:id="rId1"/>
    <sheet name="人工" sheetId="2" r:id="rId2"/>
    <sheet name="材料辅材" sheetId="3" r:id="rId3"/>
  </sheets>
  <definedNames>
    <definedName name="_xlnm._FilterDatabase" localSheetId="0" hidden="1">Sheet1!$A$1:$D$16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<sst xmlns="http://schemas.openxmlformats.org/spreadsheetml/2006/main" count="124" uniqueCount="49">
  <si>
    <t>序号</t>
  </si>
  <si>
    <t>区域</t>
  </si>
  <si>
    <t>事项</t>
  </si>
  <si>
    <t>数量</t>
  </si>
  <si>
    <t>26F</t>
  </si>
  <si>
    <t>24口交换机</t>
  </si>
  <si>
    <t>4G路由器</t>
  </si>
  <si>
    <t>网关</t>
  </si>
  <si>
    <t>网线</t>
  </si>
  <si>
    <t>电线</t>
  </si>
  <si>
    <t>检修口</t>
  </si>
  <si>
    <t>11F</t>
  </si>
  <si>
    <t>筒灯改线</t>
  </si>
  <si>
    <t>CU+Bridge</t>
  </si>
  <si>
    <t>17F</t>
  </si>
  <si>
    <t>16F</t>
  </si>
  <si>
    <t>10F</t>
  </si>
  <si>
    <t>9F</t>
  </si>
  <si>
    <t>灯盘+驱动</t>
  </si>
  <si>
    <t>CU</t>
  </si>
  <si>
    <t>LONTRI照明系统人工费用报价单</t>
  </si>
  <si>
    <t>单位</t>
  </si>
  <si>
    <t>单价</t>
  </si>
  <si>
    <t>小计</t>
  </si>
  <si>
    <t>备注</t>
  </si>
  <si>
    <t>套</t>
  </si>
  <si>
    <t>加装智控箱</t>
  </si>
  <si>
    <t>5人工</t>
  </si>
  <si>
    <t>米</t>
  </si>
  <si>
    <t>预估2个网关的量</t>
  </si>
  <si>
    <t>个</t>
  </si>
  <si>
    <t>信号线和火线的布控</t>
  </si>
  <si>
    <t>3人工</t>
  </si>
  <si>
    <t>措施费</t>
  </si>
  <si>
    <t>项</t>
  </si>
  <si>
    <t>现场环境保护</t>
  </si>
  <si>
    <t>税金</t>
  </si>
  <si>
    <t>合计</t>
  </si>
  <si>
    <t>名称</t>
  </si>
  <si>
    <t>规格</t>
  </si>
  <si>
    <t>超六类屏蔽</t>
  </si>
  <si>
    <t>铝合金检修口</t>
  </si>
  <si>
    <t>430*430</t>
  </si>
  <si>
    <t>电源线</t>
  </si>
  <si>
    <t>RVV3*2.5</t>
  </si>
  <si>
    <t>信号线</t>
  </si>
  <si>
    <t>BV2*1.5</t>
  </si>
  <si>
    <t>PC线管</t>
  </si>
  <si>
    <t>20#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</si>
</sst>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8"/>
  <sheetViews>
    <sheetView workbookViewId="0">
      <selection activeCell="B2" sqref="B2:D17"/>
    </sheetView>
  </sheetViews>
  <sheetFormatPr defaultColWidth="9" defaultRowHeight="14.4"/>
  <cols>
    <col min="1" max="2" width="9" style="4"/>
    <col min="3" max="3" width="11.8888888888889" style="4" customWidth="1"/>
    <col min="4" max="4" width="9" style="4"/>
    <col min="8" max="8" width="5.66666666666667" customWidth="1"/>
    <col min="9" max="9" width="11.8888888888889" customWidth="1"/>
    <col min="10" max="10" width="5.66666666666667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H1" s="4"/>
      <c r="I1" s="4"/>
      <c r="J1" s="4"/>
    </row>
    <row r="2" spans="1:10">
      <c r="A2" s="4">
        <v>1</v>
      </c>
      <c r="B2" s="4" t="s">
        <v>4</v>
      </c>
      <c r="C2" s="4" t="s">
        <v>5</v>
      </c>
      <c r="D2" s="4">
        <v>1</v>
      </c>
      <c r="H2" s="4"/>
      <c r="I2" s="4"/>
      <c r="J2" s="4"/>
    </row>
    <row r="3" spans="1:10">
      <c r="A3" s="4">
        <v>2</v>
      </c>
      <c r="B3" s="4" t="s">
        <v>4</v>
      </c>
      <c r="C3" s="4" t="s">
        <v>6</v>
      </c>
      <c r="D3" s="4">
        <v>1</v>
      </c>
      <c r="H3" s="4"/>
      <c r="I3" s="4"/>
      <c r="J3" s="4"/>
    </row>
    <row r="4" spans="1:10">
      <c r="A4" s="4">
        <v>3</v>
      </c>
      <c r="B4" s="4" t="s">
        <v>4</v>
      </c>
      <c r="C4" s="4" t="s">
        <v>7</v>
      </c>
      <c r="D4" s="4">
        <v>4</v>
      </c>
      <c r="H4" s="4"/>
      <c r="I4" s="4"/>
      <c r="J4" s="4"/>
    </row>
    <row r="5" spans="1:10">
      <c r="A5" s="4">
        <v>4</v>
      </c>
      <c r="B5" s="4" t="s">
        <v>4</v>
      </c>
      <c r="C5" s="4" t="s">
        <v>8</v>
      </c>
      <c r="H5" s="4"/>
      <c r="I5" s="4"/>
      <c r="J5" s="4"/>
    </row>
    <row r="6" spans="1:10">
      <c r="A6" s="4">
        <v>5</v>
      </c>
      <c r="B6" s="4" t="s">
        <v>4</v>
      </c>
      <c r="C6" s="4" t="s">
        <v>9</v>
      </c>
      <c r="H6" s="4"/>
      <c r="I6" s="4"/>
      <c r="J6" s="4"/>
    </row>
    <row r="7" spans="1:10">
      <c r="A7" s="4">
        <v>6</v>
      </c>
      <c r="B7" s="4" t="s">
        <v>4</v>
      </c>
      <c r="C7" s="4" t="s">
        <v>10</v>
      </c>
      <c r="D7" s="4">
        <v>1</v>
      </c>
      <c r="H7" s="4"/>
      <c r="I7" s="4"/>
      <c r="J7" s="4"/>
    </row>
    <row r="8" spans="1:10">
      <c r="A8" s="4">
        <v>7</v>
      </c>
      <c r="B8" s="4" t="s">
        <v>11</v>
      </c>
      <c r="C8" s="4" t="s">
        <v>10</v>
      </c>
      <c r="D8" s="4">
        <v>4</v>
      </c>
      <c r="H8" s="4"/>
      <c r="I8" s="4"/>
      <c r="J8" s="4"/>
    </row>
    <row r="9" spans="1:10">
      <c r="A9" s="4">
        <v>8</v>
      </c>
      <c r="B9" s="4" t="s">
        <v>11</v>
      </c>
      <c r="C9" s="4" t="s">
        <v>12</v>
      </c>
      <c r="D9" s="4">
        <v>1</v>
      </c>
      <c r="H9" s="4"/>
      <c r="I9" s="4"/>
      <c r="J9" s="4"/>
    </row>
    <row r="10" spans="1:10">
      <c r="A10" s="4">
        <v>9</v>
      </c>
      <c r="B10" s="4" t="s">
        <v>11</v>
      </c>
      <c r="C10" s="4" t="s">
        <v>13</v>
      </c>
      <c r="D10" s="4">
        <v>1</v>
      </c>
      <c r="H10" s="4"/>
      <c r="I10" s="4"/>
      <c r="J10" s="4"/>
    </row>
    <row r="11" spans="1:11">
      <c r="A11" s="4">
        <v>10</v>
      </c>
      <c r="B11" s="4" t="s">
        <v>14</v>
      </c>
      <c r="C11" s="4" t="s">
        <v>10</v>
      </c>
      <c r="D11" s="4">
        <v>4</v>
      </c>
      <c r="H11" s="4"/>
      <c r="I11" s="4"/>
      <c r="J11" s="4"/>
      <c r="K11" s="4"/>
    </row>
    <row r="12" spans="1:11">
      <c r="A12" s="4">
        <v>11</v>
      </c>
      <c r="B12" s="4" t="s">
        <v>15</v>
      </c>
      <c r="C12" s="4" t="s">
        <v>10</v>
      </c>
      <c r="D12" s="4">
        <v>3</v>
      </c>
      <c r="H12" s="4"/>
      <c r="I12" s="4"/>
      <c r="J12" s="4"/>
      <c r="K12" s="4"/>
    </row>
    <row r="13" spans="1:11">
      <c r="A13" s="4">
        <v>12</v>
      </c>
      <c r="B13" s="4" t="s">
        <v>16</v>
      </c>
      <c r="C13" s="4" t="s">
        <v>10</v>
      </c>
      <c r="D13" s="4">
        <v>2</v>
      </c>
      <c r="H13" s="4"/>
      <c r="I13" s="4"/>
      <c r="J13" s="4"/>
      <c r="K13" s="4"/>
    </row>
    <row r="14" spans="1:11">
      <c r="A14" s="4">
        <v>13</v>
      </c>
      <c r="B14" s="4" t="s">
        <v>17</v>
      </c>
      <c r="C14" s="4" t="s">
        <v>10</v>
      </c>
      <c r="D14" s="4">
        <v>3</v>
      </c>
      <c r="H14" s="4"/>
      <c r="I14" s="4"/>
      <c r="J14" s="4"/>
      <c r="K14" s="4"/>
    </row>
    <row r="15" spans="1:11">
      <c r="A15" s="4">
        <v>14</v>
      </c>
      <c r="C15" s="4" t="s">
        <v>18</v>
      </c>
      <c r="D15" s="4">
        <v>1</v>
      </c>
      <c r="H15" s="4"/>
      <c r="I15" s="4"/>
      <c r="J15" s="4"/>
      <c r="K15" s="4"/>
    </row>
    <row r="16" spans="1:11">
      <c r="A16" s="4">
        <v>15</v>
      </c>
      <c r="C16" s="4" t="s">
        <v>19</v>
      </c>
      <c r="D16" s="4">
        <v>3</v>
      </c>
      <c r="H16" s="4"/>
      <c r="I16" s="4"/>
      <c r="J16" s="4"/>
      <c r="K16" s="4"/>
    </row>
    <row r="17" spans="9:11">
      <c r="I17" s="4"/>
      <c r="J17" s="4"/>
      <c r="K17" s="4"/>
    </row>
    <row r="18" spans="9:11">
      <c r="I18" s="4"/>
      <c r="J18" s="4"/>
      <c r="K18" s="4"/>
    </row>
  </sheetData>
  <autoFilter xmlns:etc="http://www.wps.cn/officeDocument/2017/etCustomData" ref="A1:D16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32"/>
  <sheetViews>
    <sheetView tabSelected="1" topLeftCell="A3" workbookViewId="0">
      <selection activeCell="J23" sqref="J23"/>
    </sheetView>
  </sheetViews>
  <sheetFormatPr defaultColWidth="9" defaultRowHeight="14.4"/>
  <cols>
    <col min="3" max="3" width="17.4444444444444" customWidth="1"/>
    <col min="6" max="6" width="14.1111111111111" customWidth="1"/>
    <col min="7" max="7" width="15.6666666666667" customWidth="1"/>
    <col min="8" max="8" width="25.3333333333333" customWidth="1"/>
    <col min="9" max="9" width="11.8888888888889" customWidth="1"/>
    <col min="10" max="10" width="9.66666666666667"/>
  </cols>
  <sheetData>
    <row r="1" ht="27" customHeight="1" spans="1:8">
      <c r="A1" s="5" t="s">
        <v>20</v>
      </c>
      <c r="B1" s="5"/>
      <c r="C1" s="5"/>
      <c r="D1" s="5"/>
      <c r="E1" s="5"/>
      <c r="F1" s="5"/>
      <c r="G1" s="5"/>
      <c r="H1" s="5"/>
    </row>
    <row r="2" spans="1:9">
      <c r="A2" s="1" t="s">
        <v>0</v>
      </c>
      <c r="B2" s="1" t="s">
        <v>1</v>
      </c>
      <c r="C2" s="1" t="s">
        <v>2</v>
      </c>
      <c r="D2" s="1" t="s">
        <v>3</v>
      </c>
      <c r="E2" s="1" t="s">
        <v>21</v>
      </c>
      <c r="F2" s="1" t="s">
        <v>22</v>
      </c>
      <c r="G2" s="1" t="s">
        <v>23</v>
      </c>
      <c r="H2" s="1" t="s">
        <v>24</v>
      </c>
      <c r="I2" s="4"/>
    </row>
    <row r="3" ht="67" customHeight="1" spans="1:9">
      <c r="A3" s="1">
        <v>1</v>
      </c>
      <c r="B3" s="1" t="s">
        <v>4</v>
      </c>
      <c r="C3" s="1" t="s">
        <v>5</v>
      </c>
      <c r="D3" s="1">
        <v>1</v>
      </c>
      <c r="E3" s="1" t="s">
        <v>25</v>
      </c>
      <c r="F3" s="1">
        <v>360</v>
      </c>
      <c r="G3" s="1">
        <v>360</v>
      </c>
      <c r="H3" s="1" t="s">
        <v>26</v>
      </c>
      <c r="I3" s="4" t="s">
        <v>27</v>
      </c>
    </row>
    <row r="4" ht="70" customHeight="1" spans="1:9">
      <c r="A4" s="1">
        <v>2</v>
      </c>
      <c r="B4" s="1" t="s">
        <v>4</v>
      </c>
      <c r="C4" s="1" t="s">
        <v>6</v>
      </c>
      <c r="D4" s="1">
        <v>1</v>
      </c>
      <c r="E4" s="1" t="s">
        <v>25</v>
      </c>
      <c r="F4" s="1">
        <v>150</v>
      </c>
      <c r="G4" s="1">
        <f>SUM(F4*D4)</f>
        <v>150</v>
      </c>
      <c r="H4" s="1"/>
      <c r="I4" s="4"/>
    </row>
    <row r="5" ht="51" customHeight="1" spans="1:9">
      <c r="A5" s="1">
        <v>3</v>
      </c>
      <c r="B5" s="1" t="s">
        <v>4</v>
      </c>
      <c r="C5" s="1" t="s">
        <v>7</v>
      </c>
      <c r="D5" s="1">
        <v>2</v>
      </c>
      <c r="E5" s="1" t="s">
        <v>25</v>
      </c>
      <c r="F5" s="1">
        <v>230</v>
      </c>
      <c r="G5" s="1">
        <f>SUM(F5*D5)</f>
        <v>460</v>
      </c>
      <c r="H5" s="1"/>
      <c r="I5" s="4"/>
    </row>
    <row r="6" ht="52" customHeight="1" spans="1:9">
      <c r="A6" s="1">
        <v>4</v>
      </c>
      <c r="B6" s="1" t="s">
        <v>4</v>
      </c>
      <c r="C6" s="1" t="s">
        <v>8</v>
      </c>
      <c r="D6" s="1">
        <v>120</v>
      </c>
      <c r="E6" s="1" t="s">
        <v>28</v>
      </c>
      <c r="F6" s="1">
        <v>8</v>
      </c>
      <c r="G6" s="1">
        <f>SUM(F6*D6)</f>
        <v>960</v>
      </c>
      <c r="H6" s="1" t="s">
        <v>29</v>
      </c>
      <c r="I6" s="4"/>
    </row>
    <row r="7" ht="43" customHeight="1" spans="1:9">
      <c r="A7" s="1">
        <v>5</v>
      </c>
      <c r="B7" s="1" t="s">
        <v>4</v>
      </c>
      <c r="C7" s="1" t="s">
        <v>9</v>
      </c>
      <c r="D7" s="1">
        <v>40</v>
      </c>
      <c r="E7" s="1" t="s">
        <v>28</v>
      </c>
      <c r="F7" s="1">
        <v>6</v>
      </c>
      <c r="G7" s="1">
        <f>SUM(F7*D7)</f>
        <v>240</v>
      </c>
      <c r="H7" s="1"/>
      <c r="I7" s="4"/>
    </row>
    <row r="8" ht="31" customHeight="1" spans="1:10">
      <c r="A8" s="1">
        <v>6</v>
      </c>
      <c r="B8" s="1" t="s">
        <v>11</v>
      </c>
      <c r="C8" s="1" t="s">
        <v>10</v>
      </c>
      <c r="D8" s="1">
        <v>2</v>
      </c>
      <c r="E8" s="1" t="s">
        <v>30</v>
      </c>
      <c r="F8" s="1">
        <v>380</v>
      </c>
      <c r="G8" s="1">
        <f>SUM(F8*D8)</f>
        <v>760</v>
      </c>
      <c r="H8" s="1"/>
      <c r="I8" s="4">
        <v>1200</v>
      </c>
      <c r="J8">
        <v>200</v>
      </c>
    </row>
    <row r="9" ht="28" customHeight="1" spans="1:9">
      <c r="A9" s="1">
        <v>7</v>
      </c>
      <c r="B9" s="1" t="s">
        <v>11</v>
      </c>
      <c r="C9" s="1" t="s">
        <v>12</v>
      </c>
      <c r="D9" s="1">
        <v>8</v>
      </c>
      <c r="E9" s="1" t="s">
        <v>30</v>
      </c>
      <c r="F9" s="1">
        <v>45</v>
      </c>
      <c r="G9" s="1">
        <f t="shared" ref="G9:G14" si="0">SUM(F9*D9)</f>
        <v>360</v>
      </c>
      <c r="H9" s="1" t="s">
        <v>31</v>
      </c>
      <c r="I9" s="4" t="s">
        <v>32</v>
      </c>
    </row>
    <row r="10" ht="24" customHeight="1" spans="1:9">
      <c r="A10" s="1">
        <v>8</v>
      </c>
      <c r="B10" s="1" t="s">
        <v>11</v>
      </c>
      <c r="C10" s="1" t="s">
        <v>13</v>
      </c>
      <c r="D10" s="1">
        <v>1</v>
      </c>
      <c r="E10" s="1" t="s">
        <v>25</v>
      </c>
      <c r="F10" s="1">
        <v>80</v>
      </c>
      <c r="G10" s="1">
        <f t="shared" si="0"/>
        <v>80</v>
      </c>
      <c r="H10" s="1"/>
      <c r="I10" s="4"/>
    </row>
    <row r="11" ht="39" customHeight="1" spans="1:9">
      <c r="A11" s="1">
        <v>9</v>
      </c>
      <c r="B11" s="1" t="s">
        <v>4</v>
      </c>
      <c r="C11" s="1" t="s">
        <v>10</v>
      </c>
      <c r="D11" s="1">
        <v>1</v>
      </c>
      <c r="E11" s="1" t="s">
        <v>30</v>
      </c>
      <c r="F11" s="1">
        <v>380</v>
      </c>
      <c r="G11" s="1">
        <f t="shared" si="0"/>
        <v>380</v>
      </c>
      <c r="H11" s="1"/>
      <c r="I11" s="4"/>
    </row>
    <row r="12" ht="22" customHeight="1" spans="1:9">
      <c r="A12" s="1">
        <v>10</v>
      </c>
      <c r="B12" s="1" t="s">
        <v>14</v>
      </c>
      <c r="C12" s="1" t="s">
        <v>10</v>
      </c>
      <c r="D12" s="1">
        <v>4</v>
      </c>
      <c r="E12" s="1" t="s">
        <v>30</v>
      </c>
      <c r="F12" s="1">
        <v>380</v>
      </c>
      <c r="G12" s="1">
        <f t="shared" si="0"/>
        <v>1520</v>
      </c>
      <c r="H12" s="1"/>
      <c r="I12" s="4"/>
    </row>
    <row r="13" ht="22" customHeight="1" spans="1:9">
      <c r="A13" s="1">
        <v>11</v>
      </c>
      <c r="B13" s="1" t="s">
        <v>15</v>
      </c>
      <c r="C13" s="1" t="s">
        <v>10</v>
      </c>
      <c r="D13" s="1">
        <v>3</v>
      </c>
      <c r="E13" s="1" t="s">
        <v>30</v>
      </c>
      <c r="F13" s="1">
        <v>380</v>
      </c>
      <c r="G13" s="1">
        <f t="shared" si="0"/>
        <v>1140</v>
      </c>
      <c r="H13" s="1"/>
      <c r="I13" s="4"/>
    </row>
    <row r="14" ht="22" customHeight="1" spans="1:9">
      <c r="A14" s="1">
        <v>12</v>
      </c>
      <c r="B14" s="1" t="s">
        <v>11</v>
      </c>
      <c r="C14" s="1" t="s">
        <v>10</v>
      </c>
      <c r="D14" s="1">
        <v>2</v>
      </c>
      <c r="E14" s="1" t="s">
        <v>30</v>
      </c>
      <c r="F14" s="1">
        <v>380</v>
      </c>
      <c r="G14" s="1">
        <f t="shared" si="0"/>
        <v>760</v>
      </c>
      <c r="H14" s="1"/>
      <c r="I14" s="4"/>
    </row>
    <row r="15" ht="25" customHeight="1" spans="1:9">
      <c r="A15" s="1">
        <v>13</v>
      </c>
      <c r="B15" s="1" t="s">
        <v>16</v>
      </c>
      <c r="C15" s="1" t="s">
        <v>10</v>
      </c>
      <c r="D15" s="1">
        <v>2</v>
      </c>
      <c r="E15" s="1" t="s">
        <v>30</v>
      </c>
      <c r="F15" s="1">
        <v>380</v>
      </c>
      <c r="G15" s="1">
        <f>SUM(F15*D15)</f>
        <v>760</v>
      </c>
      <c r="H15" s="1"/>
      <c r="I15" s="4"/>
    </row>
    <row r="16" ht="22" customHeight="1" spans="1:9">
      <c r="A16" s="1">
        <v>14</v>
      </c>
      <c r="B16" s="1" t="s">
        <v>17</v>
      </c>
      <c r="C16" s="1" t="s">
        <v>10</v>
      </c>
      <c r="D16" s="1">
        <v>3</v>
      </c>
      <c r="E16" s="1" t="s">
        <v>30</v>
      </c>
      <c r="F16" s="1">
        <v>380</v>
      </c>
      <c r="G16" s="1">
        <f>SUM(F16*D16)</f>
        <v>1140</v>
      </c>
      <c r="H16" s="1"/>
      <c r="I16" s="4"/>
    </row>
    <row r="17" ht="22" customHeight="1" spans="1:9">
      <c r="A17" s="1">
        <v>15</v>
      </c>
      <c r="B17" s="1"/>
      <c r="C17" s="1" t="s">
        <v>18</v>
      </c>
      <c r="D17" s="1">
        <v>1</v>
      </c>
      <c r="E17" s="1" t="s">
        <v>25</v>
      </c>
      <c r="F17" s="1">
        <v>60</v>
      </c>
      <c r="G17" s="1">
        <f>SUM(F17*D17)</f>
        <v>60</v>
      </c>
      <c r="H17" s="1"/>
      <c r="I17" s="4"/>
    </row>
    <row r="18" ht="19" customHeight="1" spans="1:9">
      <c r="A18" s="1">
        <v>16</v>
      </c>
      <c r="B18" s="1"/>
      <c r="C18" s="1" t="s">
        <v>19</v>
      </c>
      <c r="D18" s="1">
        <v>3</v>
      </c>
      <c r="E18" s="1" t="s">
        <v>25</v>
      </c>
      <c r="F18" s="1">
        <v>40</v>
      </c>
      <c r="G18" s="1">
        <f>SUM(F18*D18)</f>
        <v>120</v>
      </c>
      <c r="H18" s="1"/>
      <c r="I18" s="4"/>
    </row>
    <row r="19" ht="24" customHeight="1" spans="1:9">
      <c r="A19" s="1">
        <v>17</v>
      </c>
      <c r="B19" s="1"/>
      <c r="C19" s="1" t="s">
        <v>33</v>
      </c>
      <c r="D19" s="1">
        <v>1</v>
      </c>
      <c r="E19" s="1" t="s">
        <v>34</v>
      </c>
      <c r="F19" s="1">
        <v>800</v>
      </c>
      <c r="G19" s="1">
        <f>SUM(F19*D19)</f>
        <v>800</v>
      </c>
      <c r="H19" s="1" t="s">
        <v>35</v>
      </c>
      <c r="I19" s="4"/>
    </row>
    <row r="20" ht="24" customHeight="1" spans="1:9">
      <c r="A20" s="1"/>
      <c r="B20" s="1"/>
      <c r="C20" s="1" t="s">
        <v>23</v>
      </c>
      <c r="D20" s="1"/>
      <c r="E20" s="1"/>
      <c r="F20" s="1"/>
      <c r="G20" s="1">
        <f>SUM(G3:G19)</f>
        <v>10050</v>
      </c>
      <c r="H20" s="1"/>
      <c r="I20" s="4"/>
    </row>
    <row r="21" ht="31" customHeight="1" spans="1:9">
      <c r="A21" s="1"/>
      <c r="B21" s="1"/>
      <c r="C21" s="1" t="s">
        <v>36</v>
      </c>
      <c r="D21" s="2">
        <v>0.01</v>
      </c>
      <c r="E21" s="1"/>
      <c r="F21" s="1"/>
      <c r="G21" s="1">
        <f>SUM(G20*D21)</f>
        <v>100.5</v>
      </c>
      <c r="H21" s="1"/>
      <c r="I21" s="4"/>
    </row>
    <row r="22" ht="30" customHeight="1" spans="1:11">
      <c r="A22" s="1"/>
      <c r="B22" s="1"/>
      <c r="C22" s="1" t="s">
        <v>37</v>
      </c>
      <c r="D22" s="1"/>
      <c r="E22" s="1"/>
      <c r="F22" s="1"/>
      <c r="G22" s="1">
        <f>SUM(G20:G21)</f>
        <v>10150.5</v>
      </c>
      <c r="H22" s="1"/>
      <c r="I22" s="4"/>
      <c r="J22">
        <f>G22*1.1</f>
        <v>11165.55</v>
      </c>
      <c r="K22">
        <f>11200+1600</f>
        <v>12800</v>
      </c>
    </row>
    <row r="23" ht="40" customHeight="1" spans="1:9">
      <c r="A23" s="4"/>
      <c r="B23" s="4"/>
      <c r="C23" s="4"/>
      <c r="D23" s="4"/>
      <c r="E23" s="4"/>
      <c r="F23" s="4"/>
      <c r="G23" s="4"/>
      <c r="H23" s="4"/>
      <c r="I23" s="4"/>
    </row>
    <row r="24" spans="1:9">
      <c r="A24" s="4"/>
      <c r="B24" s="4"/>
      <c r="C24" s="4"/>
      <c r="D24" s="4"/>
      <c r="E24" s="4"/>
      <c r="F24" s="4"/>
      <c r="G24" s="4"/>
      <c r="H24" s="4"/>
      <c r="I24" s="4"/>
    </row>
    <row r="25" spans="1:9">
      <c r="A25" s="4"/>
      <c r="B25" s="4"/>
      <c r="C25" s="4"/>
      <c r="D25" s="4"/>
      <c r="E25" s="4"/>
      <c r="F25" s="4"/>
      <c r="G25" s="4"/>
      <c r="H25" s="4"/>
      <c r="I25" s="4"/>
    </row>
    <row r="26" spans="1:9">
      <c r="A26" s="4"/>
      <c r="B26" s="4"/>
      <c r="C26" s="4"/>
      <c r="D26" s="4"/>
      <c r="E26" s="4"/>
      <c r="F26" s="4"/>
      <c r="G26" s="4"/>
      <c r="H26" s="4"/>
      <c r="I26" s="4"/>
    </row>
    <row r="27" spans="1:9">
      <c r="A27" s="4"/>
      <c r="B27" s="4"/>
      <c r="C27" s="4"/>
      <c r="D27" s="4"/>
      <c r="E27" s="4"/>
      <c r="F27" s="4"/>
      <c r="G27" s="4"/>
      <c r="H27" s="4"/>
      <c r="I27" s="4"/>
    </row>
    <row r="28" spans="1:9">
      <c r="A28" s="4"/>
      <c r="B28" s="4"/>
      <c r="C28" s="4"/>
      <c r="D28" s="4"/>
      <c r="E28" s="4"/>
      <c r="F28" s="4"/>
      <c r="G28" s="4"/>
      <c r="H28" s="4"/>
      <c r="I28" s="4"/>
    </row>
    <row r="29" spans="1:9">
      <c r="A29" s="4"/>
      <c r="B29" s="4"/>
      <c r="C29" s="4"/>
      <c r="D29" s="4"/>
      <c r="E29" s="4"/>
      <c r="F29" s="4"/>
      <c r="G29" s="4"/>
      <c r="H29" s="4"/>
      <c r="I29" s="4"/>
    </row>
    <row r="30" spans="1:9">
      <c r="A30" s="4"/>
      <c r="B30" s="4"/>
      <c r="C30" s="4"/>
      <c r="D30" s="4"/>
      <c r="E30" s="4"/>
      <c r="F30" s="4"/>
      <c r="G30" s="4"/>
      <c r="H30" s="4"/>
      <c r="I30" s="4"/>
    </row>
    <row r="31" spans="1:9">
      <c r="A31" s="4"/>
      <c r="B31" s="4"/>
      <c r="C31" s="4"/>
      <c r="D31" s="4"/>
      <c r="E31" s="4"/>
      <c r="F31" s="4"/>
      <c r="G31" s="4"/>
      <c r="H31" s="4"/>
      <c r="I31" s="4"/>
    </row>
    <row r="32" spans="1:9">
      <c r="A32" s="4"/>
      <c r="B32" s="4"/>
      <c r="C32" s="4"/>
      <c r="D32" s="4"/>
      <c r="E32" s="4"/>
      <c r="F32" s="4"/>
      <c r="G32" s="4"/>
      <c r="H32" s="4"/>
      <c r="I32" s="4"/>
    </row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28"/>
  <sheetViews>
    <sheetView workbookViewId="0">
      <selection activeCell="G10" sqref="G10"/>
    </sheetView>
  </sheetViews>
  <sheetFormatPr defaultColWidth="9" defaultRowHeight="14.4" outlineLevelCol="7"/>
  <cols>
    <col min="2" max="2" width="14.6666666666667" customWidth="1"/>
    <col min="3" max="3" width="13.6666666666667" customWidth="1"/>
    <col min="6" max="6" width="11.2222222222222" customWidth="1"/>
    <col min="7" max="7" width="15.7777777777778" customWidth="1"/>
  </cols>
  <sheetData>
    <row r="1" ht="30" customHeight="1" spans="1:8">
      <c r="A1" s="1" t="s">
        <v>20</v>
      </c>
      <c r="B1" s="1"/>
      <c r="C1" s="1"/>
      <c r="D1" s="1"/>
      <c r="E1" s="1"/>
      <c r="F1" s="1"/>
      <c r="G1" s="1"/>
      <c r="H1" s="1"/>
    </row>
    <row r="2" spans="1:8">
      <c r="A2" s="1" t="s">
        <v>0</v>
      </c>
      <c r="B2" s="1" t="s">
        <v>38</v>
      </c>
      <c r="C2" s="1" t="s">
        <v>39</v>
      </c>
      <c r="D2" s="1" t="s">
        <v>3</v>
      </c>
      <c r="E2" s="1" t="s">
        <v>21</v>
      </c>
      <c r="F2" s="1" t="s">
        <v>22</v>
      </c>
      <c r="G2" s="1" t="s">
        <v>23</v>
      </c>
      <c r="H2" s="1"/>
    </row>
    <row r="3" spans="1:8">
      <c r="A3" s="1">
        <v>1</v>
      </c>
      <c r="B3" s="1" t="s">
        <v>8</v>
      </c>
      <c r="C3" s="1" t="s">
        <v>40</v>
      </c>
      <c r="D3" s="1">
        <v>120</v>
      </c>
      <c r="E3" s="1" t="s">
        <v>28</v>
      </c>
      <c r="F3" s="1">
        <v>5.5</v>
      </c>
      <c r="G3" s="1">
        <f>SUM(F3*D3)</f>
        <v>660</v>
      </c>
      <c r="H3" s="1"/>
    </row>
    <row r="4" spans="1:8">
      <c r="A4" s="1">
        <v>2</v>
      </c>
      <c r="B4" s="1" t="s">
        <v>41</v>
      </c>
      <c r="C4" s="1" t="s">
        <v>42</v>
      </c>
      <c r="D4" s="1">
        <v>17</v>
      </c>
      <c r="E4" s="1" t="s">
        <v>25</v>
      </c>
      <c r="F4" s="1">
        <v>65</v>
      </c>
      <c r="G4" s="1">
        <f>SUM(F4*D4)</f>
        <v>1105</v>
      </c>
      <c r="H4" s="1"/>
    </row>
    <row r="5" spans="1:8">
      <c r="A5" s="1">
        <v>3</v>
      </c>
      <c r="B5" s="1" t="s">
        <v>43</v>
      </c>
      <c r="C5" s="1" t="s">
        <v>44</v>
      </c>
      <c r="D5" s="1">
        <v>65</v>
      </c>
      <c r="E5" s="1" t="s">
        <v>28</v>
      </c>
      <c r="F5" s="1">
        <v>4.5</v>
      </c>
      <c r="G5" s="1">
        <f>SUM(F5*D5)</f>
        <v>292.5</v>
      </c>
      <c r="H5" s="1"/>
    </row>
    <row r="6" spans="1:8">
      <c r="A6" s="1">
        <v>4</v>
      </c>
      <c r="B6" s="1" t="s">
        <v>45</v>
      </c>
      <c r="C6" s="1" t="s">
        <v>46</v>
      </c>
      <c r="D6" s="1">
        <v>25</v>
      </c>
      <c r="E6" s="1" t="s">
        <v>28</v>
      </c>
      <c r="F6" s="1">
        <v>2.8</v>
      </c>
      <c r="G6" s="1">
        <f>SUM(F6*D6)</f>
        <v>70</v>
      </c>
      <c r="H6" s="1"/>
    </row>
    <row r="7" spans="1:8">
      <c r="A7" s="1">
        <v>5</v>
      </c>
      <c r="B7" s="1" t="s">
        <v>47</v>
      </c>
      <c r="C7" s="1" t="s">
        <v>48</v>
      </c>
      <c r="D7" s="1">
        <v>160</v>
      </c>
      <c r="E7" s="1" t="s">
        <v>28</v>
      </c>
      <c r="F7" s="1">
        <v>2.6</v>
      </c>
      <c r="G7" s="1">
        <f>SUM(F7*D7)</f>
        <v>416</v>
      </c>
      <c r="H7" s="1"/>
    </row>
    <row r="8" spans="1:8">
      <c r="A8" s="1"/>
      <c r="B8" s="1" t="s">
        <v>23</v>
      </c>
      <c r="C8" s="1"/>
      <c r="D8" s="1"/>
      <c r="E8" s="1"/>
      <c r="F8" s="1"/>
      <c r="G8" s="1">
        <f>SUM(G3:G7)</f>
        <v>2543.5</v>
      </c>
      <c r="H8" s="1"/>
    </row>
    <row r="9" spans="1:8">
      <c r="A9" s="1"/>
      <c r="B9" s="1" t="s">
        <v>36</v>
      </c>
      <c r="C9" s="2">
        <v>0.01</v>
      </c>
      <c r="D9" s="1"/>
      <c r="E9" s="1"/>
      <c r="F9" s="1"/>
      <c r="G9" s="1">
        <f>SUM(G8*C9)</f>
        <v>25.435</v>
      </c>
      <c r="H9" s="1"/>
    </row>
    <row r="10" ht="45" customHeight="1" spans="1:8">
      <c r="A10" s="1"/>
      <c r="B10" s="1" t="s">
        <v>37</v>
      </c>
      <c r="C10" s="1"/>
      <c r="D10" s="1"/>
      <c r="E10" s="1"/>
      <c r="F10" s="1"/>
      <c r="G10" s="1">
        <f>SUM(G8:G9)</f>
        <v>2568.935</v>
      </c>
      <c r="H10" s="1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4"/>
      <c r="B12" s="4"/>
      <c r="C12" s="4"/>
      <c r="D12" s="4"/>
      <c r="E12" s="4"/>
      <c r="F12" s="4"/>
      <c r="G12" s="4"/>
      <c r="H12" s="4"/>
    </row>
    <row r="13" spans="1:8">
      <c r="A13" s="4"/>
      <c r="B13" s="4"/>
      <c r="C13" s="4"/>
      <c r="D13" s="4"/>
      <c r="E13" s="4"/>
      <c r="F13" s="4"/>
      <c r="G13" s="4"/>
      <c r="H13" s="4"/>
    </row>
    <row r="14" spans="1:8">
      <c r="A14" s="4"/>
      <c r="B14" s="4"/>
      <c r="C14" s="4"/>
      <c r="D14" s="4"/>
      <c r="E14" s="4"/>
      <c r="F14" s="4"/>
      <c r="G14" s="4"/>
      <c r="H14" s="4"/>
    </row>
    <row r="15" spans="1:8">
      <c r="A15" s="4"/>
      <c r="B15" s="4"/>
      <c r="C15" s="4"/>
      <c r="D15" s="4"/>
      <c r="E15" s="4"/>
      <c r="F15" s="4"/>
      <c r="G15" s="4"/>
      <c r="H15" s="4"/>
    </row>
    <row r="16" spans="1:8">
      <c r="A16" s="4"/>
      <c r="B16" s="4"/>
      <c r="C16" s="4"/>
      <c r="D16" s="4"/>
      <c r="E16" s="4"/>
      <c r="F16" s="4"/>
      <c r="G16" s="4"/>
      <c r="H16" s="4"/>
    </row>
    <row r="17" spans="1:8">
      <c r="A17" s="4"/>
      <c r="B17" s="4"/>
      <c r="C17" s="4"/>
      <c r="D17" s="4"/>
      <c r="E17" s="4"/>
      <c r="F17" s="4"/>
      <c r="G17" s="4"/>
      <c r="H17" s="4"/>
    </row>
    <row r="18" spans="1:8">
      <c r="A18" s="4"/>
      <c r="B18" s="4"/>
      <c r="C18" s="4"/>
      <c r="D18" s="4"/>
      <c r="E18" s="4"/>
      <c r="F18" s="4"/>
      <c r="G18" s="4"/>
      <c r="H18" s="4"/>
    </row>
    <row r="19" spans="1:8">
      <c r="A19" s="4"/>
      <c r="B19" s="4"/>
      <c r="C19" s="4"/>
      <c r="D19" s="4"/>
      <c r="E19" s="4"/>
      <c r="F19" s="4"/>
      <c r="G19" s="4"/>
      <c r="H19" s="4"/>
    </row>
    <row r="20" spans="1:8">
      <c r="A20" s="4"/>
      <c r="B20" s="4"/>
      <c r="C20" s="4"/>
      <c r="D20" s="4"/>
      <c r="E20" s="4"/>
      <c r="F20" s="4"/>
      <c r="G20" s="4"/>
      <c r="H20" s="4"/>
    </row>
    <row r="21" spans="1:8">
      <c r="A21" s="4"/>
      <c r="B21" s="4"/>
      <c r="C21" s="4"/>
      <c r="D21" s="4"/>
      <c r="E21" s="4"/>
      <c r="F21" s="4"/>
      <c r="G21" s="4"/>
      <c r="H21" s="4"/>
    </row>
    <row r="22" spans="1:8">
      <c r="A22" s="4"/>
      <c r="B22" s="4"/>
      <c r="C22" s="4"/>
      <c r="D22" s="4"/>
      <c r="E22" s="4"/>
      <c r="F22" s="4"/>
      <c r="G22" s="4"/>
      <c r="H22" s="4"/>
    </row>
    <row r="23" spans="1:8">
      <c r="A23" s="4"/>
      <c r="B23" s="4"/>
      <c r="C23" s="4"/>
      <c r="D23" s="4"/>
      <c r="E23" s="4"/>
      <c r="F23" s="4"/>
      <c r="G23" s="4"/>
      <c r="H23" s="4"/>
    </row>
    <row r="24" spans="1:8">
      <c r="A24" s="4"/>
      <c r="B24" s="4"/>
      <c r="C24" s="4"/>
      <c r="D24" s="4"/>
      <c r="E24" s="4"/>
      <c r="F24" s="4"/>
      <c r="G24" s="4"/>
      <c r="H24" s="4"/>
    </row>
    <row r="25" spans="1:8">
      <c r="A25" s="4"/>
      <c r="B25" s="4"/>
      <c r="C25" s="4"/>
      <c r="D25" s="4"/>
      <c r="E25" s="4"/>
      <c r="F25" s="4"/>
      <c r="G25" s="4"/>
      <c r="H25" s="4"/>
    </row>
    <row r="26" spans="1:8">
      <c r="A26" s="4"/>
      <c r="B26" s="4"/>
      <c r="C26" s="4"/>
      <c r="D26" s="4"/>
      <c r="E26" s="4"/>
      <c r="F26" s="4"/>
      <c r="G26" s="4"/>
      <c r="H26" s="4"/>
    </row>
    <row r="27" spans="1:8">
      <c r="A27" s="4"/>
      <c r="B27" s="4"/>
      <c r="C27" s="4"/>
      <c r="D27" s="4"/>
      <c r="E27" s="4"/>
      <c r="F27" s="4"/>
      <c r="G27" s="4"/>
      <c r="H27" s="4"/>
    </row>
    <row r="28" spans="1:8">
      <c r="A28" s="4"/>
      <c r="B28" s="4"/>
      <c r="C28" s="4"/>
      <c r="D28" s="4"/>
      <c r="E28" s="4"/>
      <c r="F28" s="4"/>
      <c r="G28" s="4"/>
      <c r="H28" s="4"/>
    </row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C798ABB9206E034C89BEB50AFC70A484" ma:contentTypeVersion="21" ma:contentTypeDescription="新建文档。" ma:contentTypeScope="" ma:versionID="3b81456199bc34639e665df68c9d536d">
  <xsd:schema xmlns:xsd="http://www.w3.org/2001/XMLSchema" xmlns:xs="http://www.w3.org/2001/XMLSchema" xmlns:p="http://schemas.microsoft.com/office/2006/metadata/properties" xmlns:ns2="f8364af2-beb9-44db-b0c3-9c0e631b791c" xmlns:ns3="b5772e67-0ee8-472a-9cb6-d4c2e9a53d09" targetNamespace="http://schemas.microsoft.com/office/2006/metadata/properties" ma:root="true" ma:fieldsID="a85486ef6ad4425c6ff26b8b01f2b263" ns2:_="" ns3:_="">
    <xsd:import namespace="f8364af2-beb9-44db-b0c3-9c0e631b791c"/>
    <xsd:import namespace="b5772e67-0ee8-472a-9cb6-d4c2e9a53d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_x5ba1__x6838_" minOccurs="0"/>
                <xsd:element ref="ns2:MediaLengthInSeconds" minOccurs="0"/>
                <xsd:element ref="ns2:MediaServiceLocation" minOccurs="0"/>
                <xsd:element ref="ns2:_x6743__x9650_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64af2-beb9-44db-b0c3-9c0e631b79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_x5ba1__x6838_" ma:index="17" nillable="true" ma:displayName="审核" ma:format="Dropdown" ma:list="UserInfo" ma:SharePointGroup="0" ma:internalName="_x5ba1__x6838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x6743__x9650_" ma:index="20" nillable="true" ma:displayName="权限" ma:list="UserInfo" ma:SharePointGroup="0" ma:internalName="_x6743__x9650_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图像标记" ma:readOnly="false" ma:fieldId="{5cf76f15-5ced-4ddc-b409-7134ff3c332f}" ma:taxonomyMulti="true" ma:sspId="d6dd5edd-d98c-48f5-bc12-d0006cee1a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772e67-0ee8-472a-9cb6-d4c2e9a53d0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6ce518d-3a26-4a52-92e7-a1a130066b42}" ma:internalName="TaxCatchAll" ma:showField="CatchAllData" ma:web="b5772e67-0ee8-472a-9cb6-d4c2e9a53d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ba1__x6838_ xmlns="f8364af2-beb9-44db-b0c3-9c0e631b791c">
      <UserInfo>
        <DisplayName/>
        <AccountId xsi:nil="true"/>
        <AccountType/>
      </UserInfo>
    </_x5ba1__x6838_>
    <lcf76f155ced4ddcb4097134ff3c332f xmlns="f8364af2-beb9-44db-b0c3-9c0e631b791c">
      <Terms xmlns="http://schemas.microsoft.com/office/infopath/2007/PartnerControls"/>
    </lcf76f155ced4ddcb4097134ff3c332f>
    <_x6743__x9650_ xmlns="f8364af2-beb9-44db-b0c3-9c0e631b791c">
      <UserInfo>
        <DisplayName/>
        <AccountId xsi:nil="true"/>
        <AccountType/>
      </UserInfo>
    </_x6743__x9650_>
    <TaxCatchAll xmlns="b5772e67-0ee8-472a-9cb6-d4c2e9a53d09" xsi:nil="true"/>
  </documentManagement>
</p:properties>
</file>

<file path=customXml/itemProps1.xml><?xml version="1.0" encoding="utf-8"?>
<ds:datastoreItem xmlns:ds="http://schemas.openxmlformats.org/officeDocument/2006/customXml" ds:itemID="{279766D9-ECC4-4B20-A171-8BF5B42B32F4}"/>
</file>

<file path=customXml/itemProps2.xml><?xml version="1.0" encoding="utf-8"?>
<ds:datastoreItem xmlns:ds="http://schemas.openxmlformats.org/officeDocument/2006/customXml" ds:itemID="{0B62643D-561B-416F-9AE9-ADD982DF4744}">
  <ds:schemaRefs/>
</ds:datastoreItem>
</file>

<file path=customXml/itemProps3.xml><?xml version="1.0" encoding="utf-8"?>
<ds:datastoreItem xmlns:ds="http://schemas.openxmlformats.org/officeDocument/2006/customXml" ds:itemID="{C6E8A839-784C-4C0B-B6AD-E0CCE307ABD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人工</vt:lpstr>
      <vt:lpstr>材料辅材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李俊葵</dc:creator>
  <cp:lastModifiedBy>李jun葵</cp:lastModifiedBy>
  <dcterms:created xsi:type="dcterms:W3CDTF">2023-05-12T11:15:00Z</dcterms:created>
  <dcterms:modified xsi:type="dcterms:W3CDTF">2025-09-05T03:34:15Z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ContentTypeId">
    <vt:lpwstr>0x010100C798ABB9206E034C89BEB50AFC70A484</vt:lpwstr>
  </property>
  <property fmtid="{D5CDD505-2E9C-101B-9397-08002B2CF9AE}" pid="4" name="ICV">
    <vt:lpwstr>60FF41E70B7C4FD2B35DB0292B721CAD_13</vt:lpwstr>
  </property>
  <property fmtid="{D5CDD505-2E9C-101B-9397-08002B2CF9AE}" pid="5" name="MediaServiceImageTags">
    <vt:lpwstr/>
  </property>
</Properties>
</file>