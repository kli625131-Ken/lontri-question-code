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运维记录" sheetId="1" r:id="rId1"/>
    <sheet name="问题汇总" sheetId="3" r:id="rId2"/>
    <sheet name="时长总结" sheetId="2" r:id="rId3"/>
  </sheets>
  <definedNames>
    <definedName name="_xlnm._FilterDatabase" localSheetId="0" hidden="1">运维记录!$A$1:$D$38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<sst xmlns="http://schemas.openxmlformats.org/spreadsheetml/2006/main" count="176" uniqueCount="110">
  <si>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楼层</t>
  </si>
  <si>
    <t>位置 / 区域</t>
  </si>
  <si>
    <t>问题描述</t>
  </si>
  <si>
    <t>处理情况</t>
  </si>
  <si>
    <t>3F</t>
  </si>
  <si>
    <t>无</t>
  </si>
  <si>
    <t>5F</t>
  </si>
  <si>
    <t>6F</t>
  </si>
  <si>
    <t>茶水间</t>
  </si>
  <si>
    <t>绿植氛围灯不在灯控范围</t>
  </si>
  <si>
    <t>7F</t>
  </si>
  <si>
    <t>绿植氛围灯和茶水间柜体灯带不在灯控范围</t>
  </si>
  <si>
    <t>7.21、7.23会议室</t>
  </si>
  <si>
    <t>筒灯常亮，CY指示灯不亮</t>
  </si>
  <si>
    <t>DALI信号线松动；现场已修复； --已解决</t>
  </si>
  <si>
    <t>打印间</t>
  </si>
  <si>
    <t>4G路由器配置</t>
  </si>
  <si>
    <t>打开无线网口通，传输协议 UDP改为TCP</t>
  </si>
  <si>
    <t>8F</t>
  </si>
  <si>
    <t>9F</t>
  </si>
  <si>
    <t>装饰灯东南角</t>
  </si>
  <si>
    <t>常亮（时控），CU指示灯不亮</t>
  </si>
  <si>
    <t>DALI信号线胶带固定不稳定，修改接线端子固定 ；--已解决</t>
  </si>
  <si>
    <t>10F</t>
  </si>
  <si>
    <t>10.05会议室</t>
  </si>
  <si>
    <t>面板控制不灵敏</t>
  </si>
  <si>
    <t>待观察</t>
  </si>
  <si>
    <t>IT仓库门口</t>
  </si>
  <si>
    <t>筒灯常亮</t>
  </si>
  <si>
    <t>11F</t>
  </si>
  <si>
    <t>餐厅进门处</t>
  </si>
  <si>
    <t>灯带不亮</t>
  </si>
  <si>
    <t>CU触发源点位顺序不匹配，触发源联动配置-Macy</t>
  </si>
  <si>
    <t>12F</t>
  </si>
  <si>
    <t>办公区进门正对面</t>
  </si>
  <si>
    <t>灯管常亮</t>
  </si>
  <si>
    <t>CU（1201-19） 参数正常，指示灯正常，云端可控；待观察</t>
  </si>
  <si>
    <t>15F</t>
  </si>
  <si>
    <t>筒灯驱动器线没接，已接好，其余待解决</t>
  </si>
  <si>
    <t>直播间西北角</t>
  </si>
  <si>
    <t>筒灯不亮，不受控</t>
  </si>
  <si>
    <t>筒灯驱动器线没接，现场已修复； --已解决</t>
  </si>
  <si>
    <t>16F</t>
  </si>
  <si>
    <t>17F</t>
  </si>
  <si>
    <t>17.23会议室</t>
  </si>
  <si>
    <t>灯具常亮</t>
  </si>
  <si>
    <t>现场照明修改电路，控制为旋钮开关；无Lontri控制设备（不在Lontri控制范围）</t>
  </si>
  <si>
    <t>lvy Li 办公室</t>
  </si>
  <si>
    <t>办公区西北角</t>
  </si>
  <si>
    <t>人感触发灯不亮</t>
  </si>
  <si>
    <t>发现灯管微弱灯光闪烁，需更换灯管；--甲方更换</t>
  </si>
  <si>
    <t>18F</t>
  </si>
  <si>
    <t>18.21会议室</t>
  </si>
  <si>
    <t>灯具常亮，CU指示灯不亮，面板不能控</t>
  </si>
  <si>
    <t>Bridge端线松，现场已修复； --已解决</t>
  </si>
  <si>
    <t>19F</t>
  </si>
  <si>
    <t>20F</t>
  </si>
  <si>
    <t>21F</t>
  </si>
  <si>
    <t>22F</t>
  </si>
  <si>
    <t>更换 GW（GW20 + 数搏底）→ 工业化，需延迟技改（重新下发配置、面板 + 时段）</t>
  </si>
  <si>
    <t>GW2202</t>
  </si>
  <si>
    <t>更换GW做验证 --Lontri</t>
  </si>
  <si>
    <t>更换GW后 配置GWID、数据库等需工具化；
重新下发配置（面板+时控）均验证成功；</t>
  </si>
  <si>
    <t>23F</t>
  </si>
  <si>
    <t>23.24、23.25会议室</t>
  </si>
  <si>
    <t>人感不关灯</t>
  </si>
  <si>
    <t>查询参数是手动配置了人感不关灯，需确认是否恢复正常人感开关灯</t>
  </si>
  <si>
    <t>25F</t>
  </si>
  <si>
    <t>25.26会议室</t>
  </si>
  <si>
    <t>房间内一盏筒灯不受面板控制</t>
  </si>
  <si>
    <t>DALI信号线脱落；现场已修复； --已解决</t>
  </si>
  <si>
    <t>25.01直播间</t>
  </si>
  <si>
    <t>房间内筒灯面板不受控，云端受控</t>
  </si>
  <si>
    <t>可查询面板组、数据库可查到配方，云端可控；问题指向通（GW和面板）讯或面板；--待解决</t>
  </si>
  <si>
    <t>延伸问题</t>
  </si>
  <si>
    <t>25.01延伸问题：下发组的开关控制--现象：该网关下所有房间灯关/办公区灯开；该网关下所有房间灯开/办公区灯关；</t>
  </si>
  <si>
    <t>2501GW下云端除外所有组配置下发开关控制都有此现象；To Macy更新代码 --待解决</t>
  </si>
  <si>
    <t>26F</t>
  </si>
  <si>
    <t>问题类别</t>
  </si>
  <si>
    <t>具体问题</t>
  </si>
  <si>
    <t>灯控范围澄清</t>
  </si>
  <si>
    <t>涉及楼层：
6F、8F、9F、16F、17F、18F、20F、21F、22F、23F</t>
  </si>
  <si>
    <t>涉及楼层 
7F、10F、12F、15F、19F</t>
  </si>
  <si>
    <t>房间修改控制设备</t>
  </si>
  <si>
    <t>涉及17F房间：17.23会议室、lvy Li 办公室
（不在Lontri控制范围）</t>
  </si>
  <si>
    <t>灯具常亮问题</t>
  </si>
  <si>
    <t>筒灯、装饰灯、灯具等常亮</t>
  </si>
  <si>
    <t>DALI 信号线松动--已修复</t>
  </si>
  <si>
    <t>灯具不亮问题</t>
  </si>
  <si>
    <t>筒灯不亮、指示灯不亮等</t>
  </si>
  <si>
    <t>控制灵敏问题</t>
  </si>
  <si>
    <t>面板控制不灵敏/面板不受控</t>
  </si>
  <si>
    <t>25.01直播间筒灯面板不受控，需更换面板</t>
  </si>
  <si>
    <t>云端组场景配置问题</t>
  </si>
  <si>
    <t>组场景调用GW广播指令</t>
  </si>
  <si>
    <t>重新部署前端代码，验证API传参</t>
  </si>
  <si>
    <t>欧莱雅静华运维排查：
1、云端检查设备在线情况；
2、云端下发组/单播控制；
3、现场巡检人感开/关灯；
4、现场巡检面板控制；</t>
  </si>
  <si>
    <t>各楼层巡检时长：</t>
  </si>
  <si>
    <t>开始</t>
  </si>
  <si>
    <t>结束</t>
  </si>
  <si>
    <t>耗时（min）</t>
  </si>
  <si>
    <t>备注</t>
  </si>
  <si>
    <t>上午是一边巡检一边解决问题</t>
  </si>
  <si>
    <t>午饭</t>
  </si>
  <si>
    <t>3-21F</t>
  </si>
  <si>
    <t>共16个楼层
只巡检记录问题</t>
  </si>
  <si>
    <t>排查/解决问题</t>
  </si>
  <si>
    <t>7/19/21F</t>
  </si>
  <si>
    <t>面板问题排查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</si>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</sst>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/>
      </right>
      <top style="thin">
        <color theme="7" tint="0.66"/>
      </top>
      <bottom style="thin">
        <color theme="7" tint="0.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 wrapText="1"/>
    </xf>
    <xf numFmtId="0" fontId="0" fillId="0" borderId="0" xfId="0" applyNumberFormat="1" applyAlignment="1">
      <alignment horizontal="center" vertical="top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7620</xdr:colOff>
      <xdr:row>0</xdr:row>
      <xdr:rowOff>38100</xdr:rowOff>
    </xdr:from>
    <xdr:to>
      <xdr:col>22</xdr:col>
      <xdr:colOff>99060</xdr:colOff>
      <xdr:row>12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5260" y="38100"/>
          <a:ext cx="8785860" cy="212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8"/>
  <sheetViews>
    <sheetView tabSelected="1" zoomScale="85" zoomScaleNormal="85" workbookViewId="0">
      <selection activeCell="F33" sqref="F33"/>
    </sheetView>
  </sheetViews>
  <sheetFormatPr defaultColWidth="8.89090909090909" defaultRowHeight="14" outlineLevelCol="4"/>
  <cols>
    <col min="1" max="1" width="7.66363636363636" style="9" customWidth="1"/>
    <col min="2" max="2" width="18.5545454545455" customWidth="1"/>
    <col min="3" max="3" width="63" customWidth="1"/>
    <col min="4" max="4" width="83" customWidth="1"/>
  </cols>
  <sheetData>
    <row r="1" ht="15" spans="1:4">
      <c r="A1" s="10" t="s">
        <v>0</v>
      </c>
      <c r="B1" s="10" t="s">
        <v>1</v>
      </c>
      <c r="C1" s="10" t="s">
        <v>2</v>
      </c>
      <c r="D1" s="10" t="s">
        <v>3</v>
      </c>
    </row>
    <row r="2" ht="15" spans="1:4">
      <c r="A2" s="10" t="s">
        <v>4</v>
      </c>
      <c r="B2" s="10"/>
      <c r="C2" s="11" t="s">
        <v>5</v>
      </c>
      <c r="D2" s="12" t="s">
        <v>5</v>
      </c>
    </row>
    <row r="3" ht="15" spans="1:4">
      <c r="A3" s="10" t="s">
        <v>6</v>
      </c>
      <c r="B3" s="10"/>
      <c r="C3" s="11" t="s">
        <v>5</v>
      </c>
      <c r="D3" s="12" t="s">
        <v>5</v>
      </c>
    </row>
    <row r="4" ht="15" spans="1:4">
      <c r="A4" s="10" t="s">
        <v>7</v>
      </c>
      <c r="B4" s="12" t="s">
        <v>8</v>
      </c>
      <c r="C4" s="12" t="s">
        <v>9</v>
      </c>
      <c r="D4" s="12" t="s">
        <v>5</v>
      </c>
    </row>
    <row r="5" ht="15" spans="1:4">
      <c r="A5" s="14" t="s">
        <v>10</v>
      </c>
      <c r="B5" s="12" t="s">
        <v>8</v>
      </c>
      <c r="C5" s="12" t="s">
        <v>11</v>
      </c>
      <c r="D5" s="12" t="s">
        <v>5</v>
      </c>
    </row>
    <row r="6" ht="15" spans="1:4">
      <c r="A6" s="15"/>
      <c r="B6" s="12" t="s">
        <v>12</v>
      </c>
      <c r="C6" s="12" t="s">
        <v>13</v>
      </c>
      <c r="D6" s="12" t="s">
        <v>14</v>
      </c>
    </row>
    <row r="7" ht="15" spans="1:4">
      <c r="A7" s="16"/>
      <c r="B7" s="12" t="s">
        <v>15</v>
      </c>
      <c r="C7" s="12" t="s">
        <v>16</v>
      </c>
      <c r="D7" s="12" t="s">
        <v>17</v>
      </c>
    </row>
    <row r="8" ht="15" spans="1:4">
      <c r="A8" s="10" t="s">
        <v>18</v>
      </c>
      <c r="B8" s="12" t="s">
        <v>8</v>
      </c>
      <c r="C8" s="12" t="s">
        <v>9</v>
      </c>
      <c r="D8" s="12" t="s">
        <v>5</v>
      </c>
    </row>
    <row r="9" ht="15" spans="1:4">
      <c r="A9" s="14" t="s">
        <v>19</v>
      </c>
      <c r="B9" s="12" t="s">
        <v>8</v>
      </c>
      <c r="C9" s="12" t="s">
        <v>9</v>
      </c>
      <c r="D9" s="12" t="s">
        <v>5</v>
      </c>
    </row>
    <row r="10" ht="15" spans="1:4">
      <c r="A10" s="15"/>
      <c r="B10" s="12" t="s">
        <v>20</v>
      </c>
      <c r="C10" s="12" t="s">
        <v>21</v>
      </c>
      <c r="D10" s="12" t="s">
        <v>22</v>
      </c>
    </row>
    <row r="11" ht="15" spans="1:4">
      <c r="A11" s="14" t="s">
        <v>23</v>
      </c>
      <c r="B11" s="12" t="s">
        <v>8</v>
      </c>
      <c r="C11" s="12" t="s">
        <v>11</v>
      </c>
      <c r="D11" s="12" t="s">
        <v>5</v>
      </c>
    </row>
    <row r="12" ht="15" spans="1:4">
      <c r="A12" s="15"/>
      <c r="B12" s="12" t="s">
        <v>24</v>
      </c>
      <c r="C12" s="12" t="s">
        <v>25</v>
      </c>
      <c r="D12" s="12" t="s">
        <v>26</v>
      </c>
    </row>
    <row r="13" ht="15" spans="1:4">
      <c r="A13" s="16"/>
      <c r="B13" s="12" t="s">
        <v>27</v>
      </c>
      <c r="C13" s="12" t="s">
        <v>28</v>
      </c>
      <c r="D13" s="12" t="s">
        <v>14</v>
      </c>
    </row>
    <row r="14" ht="15" spans="1:4">
      <c r="A14" s="10" t="s">
        <v>29</v>
      </c>
      <c r="B14" s="12" t="s">
        <v>30</v>
      </c>
      <c r="C14" s="12" t="s">
        <v>31</v>
      </c>
      <c r="D14" s="12" t="s">
        <v>32</v>
      </c>
    </row>
    <row r="15" ht="15" spans="1:4">
      <c r="A15" s="14" t="s">
        <v>33</v>
      </c>
      <c r="B15" s="12" t="s">
        <v>8</v>
      </c>
      <c r="C15" s="12" t="s">
        <v>11</v>
      </c>
      <c r="D15" s="12" t="s">
        <v>5</v>
      </c>
    </row>
    <row r="16" ht="15" spans="1:4">
      <c r="A16" s="15"/>
      <c r="B16" s="12" t="s">
        <v>34</v>
      </c>
      <c r="C16" s="12" t="s">
        <v>35</v>
      </c>
      <c r="D16" s="12" t="s">
        <v>36</v>
      </c>
    </row>
    <row r="17" ht="15" spans="1:4">
      <c r="A17" s="14" t="s">
        <v>37</v>
      </c>
      <c r="B17" s="12" t="s">
        <v>8</v>
      </c>
      <c r="C17" s="12" t="s">
        <v>11</v>
      </c>
      <c r="D17" s="12" t="s">
        <v>38</v>
      </c>
    </row>
    <row r="18" ht="15" spans="1:4">
      <c r="A18" s="16"/>
      <c r="B18" s="12" t="s">
        <v>39</v>
      </c>
      <c r="C18" s="12" t="s">
        <v>40</v>
      </c>
      <c r="D18" s="12" t="s">
        <v>41</v>
      </c>
    </row>
    <row r="19" ht="15" spans="1:4">
      <c r="A19" s="10" t="s">
        <v>42</v>
      </c>
      <c r="B19" s="12" t="s">
        <v>8</v>
      </c>
      <c r="C19" s="12" t="s">
        <v>9</v>
      </c>
      <c r="D19" s="12" t="s">
        <v>5</v>
      </c>
    </row>
    <row r="20" ht="15" spans="1:4">
      <c r="A20" s="14" t="s">
        <v>43</v>
      </c>
      <c r="B20" s="12" t="s">
        <v>8</v>
      </c>
      <c r="C20" s="12" t="s">
        <v>9</v>
      </c>
      <c r="D20" s="12" t="s">
        <v>5</v>
      </c>
    </row>
    <row r="21" ht="15" spans="1:4">
      <c r="A21" s="15"/>
      <c r="B21" s="12" t="s">
        <v>44</v>
      </c>
      <c r="C21" s="12" t="s">
        <v>45</v>
      </c>
      <c r="D21" s="12" t="s">
        <v>46</v>
      </c>
    </row>
    <row r="22" ht="15" spans="1:4">
      <c r="A22" s="15"/>
      <c r="B22" s="12" t="s">
        <v>47</v>
      </c>
      <c r="C22" s="12" t="s">
        <v>45</v>
      </c>
      <c r="D22" s="12" t="s">
        <v>46</v>
      </c>
    </row>
    <row r="23" ht="15" spans="1:4">
      <c r="A23" s="15"/>
      <c r="B23" s="12" t="s">
        <v>48</v>
      </c>
      <c r="C23" s="12" t="s">
        <v>49</v>
      </c>
      <c r="D23" s="12" t="s">
        <v>50</v>
      </c>
    </row>
    <row r="24" ht="15" spans="1:4">
      <c r="A24" s="14" t="s">
        <v>51</v>
      </c>
      <c r="B24" s="12" t="s">
        <v>8</v>
      </c>
      <c r="C24" s="12" t="s">
        <v>9</v>
      </c>
      <c r="D24" s="12" t="s">
        <v>5</v>
      </c>
    </row>
    <row r="25" ht="15" spans="1:4">
      <c r="A25" s="16"/>
      <c r="B25" s="12" t="s">
        <v>52</v>
      </c>
      <c r="C25" s="12" t="s">
        <v>53</v>
      </c>
      <c r="D25" s="12" t="s">
        <v>54</v>
      </c>
    </row>
    <row r="26" ht="15" spans="1:4">
      <c r="A26" s="10" t="s">
        <v>55</v>
      </c>
      <c r="B26" s="12" t="s">
        <v>8</v>
      </c>
      <c r="C26" s="12" t="s">
        <v>11</v>
      </c>
      <c r="D26" s="12" t="s">
        <v>5</v>
      </c>
    </row>
    <row r="27" ht="15" spans="1:4">
      <c r="A27" s="10"/>
      <c r="B27" s="12" t="s">
        <v>15</v>
      </c>
      <c r="C27" s="12" t="s">
        <v>16</v>
      </c>
      <c r="D27" s="12" t="s">
        <v>17</v>
      </c>
    </row>
    <row r="28" ht="15" spans="1:4">
      <c r="A28" s="10" t="s">
        <v>56</v>
      </c>
      <c r="B28" s="12" t="s">
        <v>8</v>
      </c>
      <c r="C28" s="12" t="s">
        <v>9</v>
      </c>
      <c r="D28" s="12" t="s">
        <v>5</v>
      </c>
    </row>
    <row r="29" ht="15" spans="1:4">
      <c r="A29" s="10" t="s">
        <v>57</v>
      </c>
      <c r="B29" s="12" t="s">
        <v>8</v>
      </c>
      <c r="C29" s="12" t="s">
        <v>9</v>
      </c>
      <c r="D29" s="12" t="s">
        <v>5</v>
      </c>
    </row>
    <row r="30" ht="15" spans="1:4">
      <c r="A30" s="14" t="s">
        <v>58</v>
      </c>
      <c r="B30" s="12" t="s">
        <v>8</v>
      </c>
      <c r="C30" s="12" t="s">
        <v>9</v>
      </c>
      <c r="D30" s="12" t="s">
        <v>59</v>
      </c>
    </row>
    <row r="31" ht="30" spans="1:4">
      <c r="A31" s="16"/>
      <c r="B31" s="12" t="s">
        <v>60</v>
      </c>
      <c r="C31" s="12" t="s">
        <v>61</v>
      </c>
      <c r="D31" s="12" t="s">
        <v>62</v>
      </c>
    </row>
    <row r="32" ht="15" spans="1:4">
      <c r="A32" s="17" t="s">
        <v>63</v>
      </c>
      <c r="B32" s="12" t="s">
        <v>8</v>
      </c>
      <c r="C32" s="12" t="s">
        <v>9</v>
      </c>
      <c r="D32" s="12" t="s">
        <v>5</v>
      </c>
    </row>
    <row r="33" ht="28" spans="1:5">
      <c r="A33" s="18"/>
      <c r="B33" s="19" t="s">
        <v>64</v>
      </c>
      <c r="C33" s="19" t="s">
        <v>65</v>
      </c>
      <c r="D33" s="20" t="s">
        <v>66</v>
      </c>
      <c r="E33" s="21"/>
    </row>
    <row r="34" ht="15" spans="1:4">
      <c r="A34" s="14" t="s">
        <v>67</v>
      </c>
      <c r="B34" s="12" t="s">
        <v>68</v>
      </c>
      <c r="C34" s="12" t="s">
        <v>69</v>
      </c>
      <c r="D34" s="12" t="s">
        <v>70</v>
      </c>
    </row>
    <row r="35" ht="30" spans="1:4">
      <c r="A35" s="15"/>
      <c r="B35" s="12" t="s">
        <v>71</v>
      </c>
      <c r="C35" s="12" t="s">
        <v>72</v>
      </c>
      <c r="D35" s="12" t="s">
        <v>73</v>
      </c>
    </row>
    <row r="36" ht="34" customHeight="1" spans="1:4">
      <c r="A36" s="15"/>
      <c r="B36" s="12" t="s">
        <v>74</v>
      </c>
      <c r="C36" s="12" t="s">
        <v>75</v>
      </c>
      <c r="D36" s="12" t="s">
        <v>76</v>
      </c>
    </row>
    <row r="37" ht="15" spans="1:4">
      <c r="A37" s="16"/>
      <c r="B37" s="12" t="s">
        <v>15</v>
      </c>
      <c r="C37" s="12" t="s">
        <v>16</v>
      </c>
      <c r="D37" s="12" t="s">
        <v>17</v>
      </c>
    </row>
    <row r="38" ht="15" spans="1:4">
      <c r="A38" s="10" t="s">
        <v>77</v>
      </c>
      <c r="B38" s="12"/>
      <c r="C38" s="11" t="s">
        <v>5</v>
      </c>
      <c r="D38" s="11" t="s">
        <v>5</v>
      </c>
    </row>
  </sheetData>
  <autoFilter xmlns:etc="http://www.wps.cn/officeDocument/2017/etCustomData" ref="A1:D38" etc:filterBottomFollowUsedRange="0">
    <extLst/>
  </autoFilter>
  <mergeCells count="10">
    <mergeCell ref="A5:A7"/>
    <mergeCell ref="A9:A10"/>
    <mergeCell ref="A11:A13"/>
    <mergeCell ref="A15:A16"/>
    <mergeCell ref="A17:A18"/>
    <mergeCell ref="A20:A23"/>
    <mergeCell ref="A24:A25"/>
    <mergeCell ref="A30:A31"/>
    <mergeCell ref="A32:A33"/>
    <mergeCell ref="A34:A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8"/>
  <sheetViews>
    <sheetView workbookViewId="0">
      <selection activeCell="C7" sqref="C7"/>
    </sheetView>
  </sheetViews>
  <sheetFormatPr defaultColWidth="8.89090909090909" defaultRowHeight="14" outlineLevelRow="7" outlineLevelCol="2"/>
  <cols>
    <col min="1" max="1" width="25.2181818181818" customWidth="1"/>
    <col min="2" max="2" width="45.2181818181818" customWidth="1"/>
    <col min="3" max="3" width="55.2181818181818" customWidth="1"/>
  </cols>
  <sheetData>
    <row r="1" ht="15" spans="1:3">
      <c r="A1" s="10" t="s">
        <v>78</v>
      </c>
      <c r="B1" s="10" t="s">
        <v>79</v>
      </c>
      <c r="C1" s="10" t="s">
        <v>3</v>
      </c>
    </row>
    <row r="2" ht="30" spans="1:3">
      <c r="A2" s="11" t="s">
        <v>80</v>
      </c>
      <c r="B2" s="12" t="s">
        <v>9</v>
      </c>
      <c r="C2" s="12" t="s">
        <v>81</v>
      </c>
    </row>
    <row r="3" ht="30" spans="1:3">
      <c r="A3" s="11"/>
      <c r="B3" s="12" t="s">
        <v>11</v>
      </c>
      <c r="C3" s="12" t="s">
        <v>82</v>
      </c>
    </row>
    <row r="4" ht="30" spans="1:3">
      <c r="A4" s="11"/>
      <c r="B4" s="12" t="s">
        <v>83</v>
      </c>
      <c r="C4" s="12" t="s">
        <v>84</v>
      </c>
    </row>
    <row r="5" ht="15" spans="1:3">
      <c r="A5" s="12" t="s">
        <v>85</v>
      </c>
      <c r="B5" s="12" t="s">
        <v>86</v>
      </c>
      <c r="C5" s="12" t="s">
        <v>87</v>
      </c>
    </row>
    <row r="6" ht="15" spans="1:3">
      <c r="A6" s="12" t="s">
        <v>88</v>
      </c>
      <c r="B6" s="12" t="s">
        <v>89</v>
      </c>
      <c r="C6" s="12" t="s">
        <v>87</v>
      </c>
    </row>
    <row r="7" ht="15" spans="1:3">
      <c r="A7" s="12" t="s">
        <v>90</v>
      </c>
      <c r="B7" s="12" t="s">
        <v>91</v>
      </c>
      <c r="C7" s="12" t="s">
        <v>92</v>
      </c>
    </row>
    <row r="8" ht="15" spans="1:3">
      <c r="A8" s="12" t="s">
        <v>93</v>
      </c>
      <c r="B8" s="12" t="s">
        <v>94</v>
      </c>
      <c r="C8" s="13" t="s">
        <v>95</v>
      </c>
    </row>
  </sheetData>
  <mergeCells count="1">
    <mergeCell ref="A2:A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22"/>
  <sheetViews>
    <sheetView topLeftCell="A4" workbookViewId="0">
      <selection activeCell="E12" sqref="E12"/>
    </sheetView>
  </sheetViews>
  <sheetFormatPr defaultColWidth="8.89090909090909" defaultRowHeight="14" outlineLevelCol="6"/>
  <cols>
    <col min="4" max="4" width="12.8909090909091"/>
  </cols>
  <sheetData>
    <row r="1" spans="1:7">
      <c r="A1" s="1" t="s">
        <v>96</v>
      </c>
      <c r="B1" s="1"/>
      <c r="C1" s="1"/>
      <c r="D1" s="1"/>
      <c r="E1" s="1"/>
      <c r="F1" s="2"/>
      <c r="G1" s="2"/>
    </row>
    <row r="2" spans="1:7">
      <c r="A2" s="1"/>
      <c r="B2" s="1"/>
      <c r="C2" s="1"/>
      <c r="D2" s="1"/>
      <c r="E2" s="1"/>
      <c r="F2" s="2"/>
      <c r="G2" s="2"/>
    </row>
    <row r="3" spans="1:7">
      <c r="A3" s="1"/>
      <c r="B3" s="1"/>
      <c r="C3" s="1"/>
      <c r="D3" s="1"/>
      <c r="E3" s="1"/>
      <c r="F3" s="2"/>
      <c r="G3" s="2"/>
    </row>
    <row r="4" spans="1:7">
      <c r="A4" s="1"/>
      <c r="B4" s="1"/>
      <c r="C4" s="1"/>
      <c r="D4" s="1"/>
      <c r="E4" s="1"/>
      <c r="F4" s="2"/>
      <c r="G4" s="2"/>
    </row>
    <row r="5" spans="1:7">
      <c r="A5" s="1"/>
      <c r="B5" s="1"/>
      <c r="C5" s="1"/>
      <c r="D5" s="1"/>
      <c r="E5" s="1"/>
      <c r="F5" s="2"/>
      <c r="G5" s="2"/>
    </row>
    <row r="6" spans="1:7">
      <c r="A6" s="1"/>
      <c r="B6" s="1"/>
      <c r="C6" s="1"/>
      <c r="D6" s="1"/>
      <c r="E6" s="1"/>
      <c r="F6" s="2"/>
      <c r="G6" s="2"/>
    </row>
    <row r="7" spans="1:7">
      <c r="A7" s="1"/>
      <c r="B7" s="1"/>
      <c r="C7" s="1"/>
      <c r="D7" s="1"/>
      <c r="E7" s="1"/>
      <c r="F7" s="2"/>
      <c r="G7" s="2"/>
    </row>
    <row r="8" spans="1:7">
      <c r="A8" s="1"/>
      <c r="B8" s="1"/>
      <c r="C8" s="1"/>
      <c r="D8" s="1"/>
      <c r="E8" s="1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3" t="s">
        <v>97</v>
      </c>
      <c r="B11" s="3"/>
      <c r="C11" s="2"/>
      <c r="D11" s="2"/>
      <c r="E11" s="2"/>
      <c r="F11" s="2"/>
      <c r="G11" s="2"/>
    </row>
    <row r="12" spans="1:7">
      <c r="A12" s="4" t="s">
        <v>0</v>
      </c>
      <c r="B12" s="2" t="s">
        <v>98</v>
      </c>
      <c r="C12" s="2" t="s">
        <v>99</v>
      </c>
      <c r="D12" s="2" t="s">
        <v>100</v>
      </c>
      <c r="E12" s="2" t="s">
        <v>101</v>
      </c>
      <c r="F12" s="2"/>
      <c r="G12" s="2"/>
    </row>
    <row r="13" spans="1:7">
      <c r="A13" s="2" t="s">
        <v>77</v>
      </c>
      <c r="B13" s="5">
        <v>0.379861111111111</v>
      </c>
      <c r="C13" s="5">
        <v>0.409722222222222</v>
      </c>
      <c r="D13" s="6">
        <v>43</v>
      </c>
      <c r="E13" s="4" t="s">
        <v>102</v>
      </c>
      <c r="F13" s="2"/>
      <c r="G13" s="2"/>
    </row>
    <row r="14" spans="1:7">
      <c r="A14" s="2" t="s">
        <v>67</v>
      </c>
      <c r="B14" s="5">
        <v>0.413194444444444</v>
      </c>
      <c r="C14" s="5">
        <v>0.46875</v>
      </c>
      <c r="D14" s="6">
        <v>80</v>
      </c>
      <c r="E14" s="2"/>
      <c r="F14" s="2"/>
      <c r="G14" s="2"/>
    </row>
    <row r="15" spans="1:4">
      <c r="A15" t="s">
        <v>63</v>
      </c>
      <c r="B15" s="5">
        <v>0.470138888888889</v>
      </c>
      <c r="C15" s="5">
        <v>0.484722222222222</v>
      </c>
      <c r="D15" s="6">
        <v>21</v>
      </c>
    </row>
    <row r="16" spans="1:4">
      <c r="A16" t="s">
        <v>58</v>
      </c>
      <c r="B16" s="5">
        <v>0.486111111111111</v>
      </c>
      <c r="C16" s="5">
        <v>0.529861111111111</v>
      </c>
      <c r="D16" s="6">
        <v>63</v>
      </c>
    </row>
    <row r="17" spans="1:7">
      <c r="A17" s="7" t="s">
        <v>103</v>
      </c>
      <c r="B17" s="7"/>
      <c r="C17" s="7"/>
      <c r="D17" s="7"/>
      <c r="E17" s="7"/>
      <c r="F17" s="7"/>
      <c r="G17" s="7"/>
    </row>
    <row r="18" spans="1:5">
      <c r="A18" t="s">
        <v>104</v>
      </c>
      <c r="B18" s="5">
        <v>0.555555555555556</v>
      </c>
      <c r="C18" s="5">
        <v>0.625</v>
      </c>
      <c r="D18" s="6">
        <v>100</v>
      </c>
      <c r="E18" s="8" t="s">
        <v>105</v>
      </c>
    </row>
    <row r="19" spans="1:5">
      <c r="A19" t="s">
        <v>104</v>
      </c>
      <c r="B19" s="5">
        <v>0.625</v>
      </c>
      <c r="C19" s="5">
        <v>0.690972222222222</v>
      </c>
      <c r="D19" s="6">
        <v>95</v>
      </c>
      <c r="E19" t="s">
        <v>106</v>
      </c>
    </row>
    <row r="20" spans="1:5">
      <c r="A20" t="s">
        <v>107</v>
      </c>
      <c r="B20" s="5">
        <v>0.690972222222222</v>
      </c>
      <c r="C20" s="5">
        <v>0.708333333333333</v>
      </c>
      <c r="D20" s="6">
        <v>25</v>
      </c>
      <c r="E20" t="s">
        <v>16</v>
      </c>
    </row>
    <row r="21" spans="1:5">
      <c r="A21" t="s">
        <v>67</v>
      </c>
      <c r="B21" s="5">
        <v>0.708333333333333</v>
      </c>
      <c r="C21" s="5">
        <v>0.729166666666667</v>
      </c>
      <c r="D21" s="6">
        <v>30</v>
      </c>
      <c r="E21" t="s">
        <v>108</v>
      </c>
    </row>
    <row r="22" spans="1:4">
      <c r="A22" t="s">
        <v>109</v>
      </c>
      <c r="D22" s="9">
        <f>SUM(D13:D21)</f>
        <v>457</v>
      </c>
    </row>
  </sheetData>
  <mergeCells count="3">
    <mergeCell ref="A11:B11"/>
    <mergeCell ref="A17:G17"/>
    <mergeCell ref="A1:E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8EBD5C38-03C9-43AB-A38A-781294944E46}"/>
</file>

<file path=customXml/itemProps2.xml><?xml version="1.0" encoding="utf-8"?>
<ds:datastoreItem xmlns:ds="http://schemas.openxmlformats.org/officeDocument/2006/customXml" ds:itemID="{D926004F-A146-4EDA-9B0D-9CCD0C5F6AC3}">
  <ds:schemaRefs/>
</ds:datastoreItem>
</file>

<file path=customXml/itemProps3.xml><?xml version="1.0" encoding="utf-8"?>
<ds:datastoreItem xmlns:ds="http://schemas.openxmlformats.org/officeDocument/2006/customXml" ds:itemID="{B0335BFB-E880-465A-B33D-0908A69AE8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运维记录</vt:lpstr>
      <vt:lpstr>问题汇总</vt:lpstr>
      <vt:lpstr>时长总结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李jun葵</cp:lastModifiedBy>
  <dcterms:created xsi:type="dcterms:W3CDTF">2025-04-12T12:26:00Z</dcterms:created>
  <dcterms:modified xsi:type="dcterms:W3CDTF">2025-04-14T11:18:35Z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E90F37E3A10B45DF82A4120F013943E3_11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