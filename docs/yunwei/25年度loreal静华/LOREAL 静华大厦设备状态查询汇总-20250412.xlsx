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掉线率-GW" sheetId="11" r:id="rId1"/>
    <sheet name="掉线率-CU" sheetId="10" r:id="rId2"/>
    <sheet name="OffLine List" sheetId="2" r:id="rId3"/>
    <sheet name="掉线截图" sheetId="5" r:id="rId4"/>
    <sheet name="Gateway List" sheetId="3" r:id="rId5"/>
    <sheet name="CU List" sheetId="4" r:id="rId6"/>
  </sheets>
  <definedNames>
    <definedName name="_xlnm._FilterDatabase" localSheetId="0" hidden="1">'掉线率-GW'!$A$1:$O$41</definedName>
    <definedName name="_xlnm._FilterDatabase" localSheetId="1" hidden="1">'掉线率-CU'!$A$2:$D$161</definedName>
    <definedName name="_xlnm._FilterDatabase" localSheetId="2" hidden="1">'OffLine List'!$B$1:$H$37</definedName>
    <definedName name="_xlnm._FilterDatabase" localSheetId="5" hidden="1">'CU List'!$A$1:$E$160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<sst xmlns="http://schemas.openxmlformats.org/spreadsheetml/2006/main" count="1151" uniqueCount="382">
  <si>
    <t>Name</t>
  </si>
  <si>
    <t>Default Gateway</t>
  </si>
  <si>
    <t>Type</t>
  </si>
  <si>
    <t>Gateway ID</t>
  </si>
  <si>
    <t>CLIIP</t>
  </si>
  <si>
    <r>
      <rPr>
        <sz val="11"/>
        <color rgb="FFFFFFFF"/>
        <rFont val="Calibri"/>
        <charset val="134"/>
      </rPr>
      <t>CU</t>
    </r>
    <r>
      <rPr>
        <sz val="11"/>
        <color rgb="FFFFFFFF"/>
        <rFont val="微软雅黑"/>
        <charset val="134"/>
      </rPr>
      <t>数量</t>
    </r>
  </si>
  <si>
    <t>每条能耗数据间隔时长（分钟）</t>
  </si>
  <si>
    <t>每天能耗数据条数（条/CU)</t>
  </si>
  <si>
    <t>每天理论条数
(条/网关）</t>
  </si>
  <si>
    <r>
      <rPr>
        <sz val="11"/>
        <color rgb="FFFFFFFF"/>
        <rFont val="等线"/>
        <charset val="134"/>
      </rPr>
      <t>丢包率</t>
    </r>
  </si>
  <si>
    <t>GW0301</t>
  </si>
  <si>
    <t>192.168.1.1</t>
  </si>
  <si>
    <t>Lontri</t>
  </si>
  <si>
    <t>38FFD8055347323639390643</t>
  </si>
  <si>
    <t>192.168.1.151</t>
  </si>
  <si>
    <t>GW0302</t>
  </si>
  <si>
    <t>38FFD8055347323638290643</t>
  </si>
  <si>
    <t>192.168.1.146</t>
  </si>
  <si>
    <t>GW0501</t>
  </si>
  <si>
    <t>38FFDA055347323640660643</t>
  </si>
  <si>
    <t>192.168.1.157</t>
  </si>
  <si>
    <t>GW0502</t>
  </si>
  <si>
    <t>38FFD8055347323638630643</t>
  </si>
  <si>
    <t>192.168.1.153</t>
  </si>
  <si>
    <t>GW0601</t>
  </si>
  <si>
    <t>38FFD3055347323638640643</t>
  </si>
  <si>
    <t>192.168.1.156</t>
  </si>
  <si>
    <t>GW0602</t>
  </si>
  <si>
    <t>38FFD6055347323639540643</t>
  </si>
  <si>
    <t>192.168.1.137</t>
  </si>
  <si>
    <t>GW0701</t>
  </si>
  <si>
    <t>38FFD9055347323638420643</t>
  </si>
  <si>
    <t>192.168.1.152</t>
  </si>
  <si>
    <t>GW0702</t>
  </si>
  <si>
    <t>38FFDB055347323640360643</t>
  </si>
  <si>
    <t>192.168.1.158</t>
  </si>
  <si>
    <t>GW0801</t>
  </si>
  <si>
    <t>38FFD5055347323638440643</t>
  </si>
  <si>
    <t>192.168.1.132</t>
  </si>
  <si>
    <t>GW0802</t>
  </si>
  <si>
    <t>38FFD4055347323639580643</t>
  </si>
  <si>
    <t>192.168.1.155</t>
  </si>
  <si>
    <t>GW0901</t>
  </si>
  <si>
    <t>38FFD5055347323629390543</t>
  </si>
  <si>
    <t>192.168.1.117</t>
  </si>
  <si>
    <t>GW0902</t>
  </si>
  <si>
    <t>38FFD6055347323639440643</t>
  </si>
  <si>
    <t>192.168.1.116</t>
  </si>
  <si>
    <t>GW1001</t>
  </si>
  <si>
    <t>38FFD5055347323639510643</t>
  </si>
  <si>
    <t>192.168.1.124</t>
  </si>
  <si>
    <t>GW1002</t>
  </si>
  <si>
    <t>38FFD8055347323639460643</t>
  </si>
  <si>
    <t>192.168.1.122</t>
  </si>
  <si>
    <t>GW1101</t>
  </si>
  <si>
    <t>37FFD8055348393830461643</t>
  </si>
  <si>
    <t>192.168.1.136</t>
  </si>
  <si>
    <t>GW1102</t>
  </si>
  <si>
    <t>38FFD4055347323649290143</t>
  </si>
  <si>
    <t>192.168.1.150</t>
  </si>
  <si>
    <t>GW1201</t>
  </si>
  <si>
    <t>38FFD4055347323657500143</t>
  </si>
  <si>
    <t>192.168.1.126</t>
  </si>
  <si>
    <t>GW1202</t>
  </si>
  <si>
    <t>38FFDA055347323664391743</t>
  </si>
  <si>
    <t>192.168.1.125</t>
  </si>
  <si>
    <t>GW1501</t>
  </si>
  <si>
    <t>34FFDA055347323943421743</t>
  </si>
  <si>
    <t>192.168.1.119</t>
  </si>
  <si>
    <t>GW1502</t>
  </si>
  <si>
    <t>38FFD4055347323644410443</t>
  </si>
  <si>
    <t>192.168.1.145</t>
  </si>
  <si>
    <t>GW1601</t>
  </si>
  <si>
    <t>39FFD9055256323462532443</t>
  </si>
  <si>
    <t>192.168.1.21</t>
  </si>
  <si>
    <t>GW1602</t>
  </si>
  <si>
    <t>38FFD8055347323638650643</t>
  </si>
  <si>
    <t>192.168.1.115</t>
  </si>
  <si>
    <t>GW1701</t>
  </si>
  <si>
    <t>38FFD6055347323638280643</t>
  </si>
  <si>
    <t>192.168.1.135</t>
  </si>
  <si>
    <t>GW1702</t>
  </si>
  <si>
    <t>34FFD5055347323944361743</t>
  </si>
  <si>
    <t>192.168.1.131</t>
  </si>
  <si>
    <t>GW1801</t>
  </si>
  <si>
    <t>38FFD7055347323638400643</t>
  </si>
  <si>
    <t>192.168.1.140</t>
  </si>
  <si>
    <t>GW1802</t>
  </si>
  <si>
    <t>38FFD6055347323635430543</t>
  </si>
  <si>
    <t>192.168.1.105</t>
  </si>
  <si>
    <t>GW1901</t>
  </si>
  <si>
    <t>38FFD6055347323639610643</t>
  </si>
  <si>
    <t>192.168.1.148</t>
  </si>
  <si>
    <t>GW1902</t>
  </si>
  <si>
    <t>38FFD1055347323640390643</t>
  </si>
  <si>
    <t>192.168.1.142</t>
  </si>
  <si>
    <t>GW2001</t>
  </si>
  <si>
    <t>38FFD5055347323638530643</t>
  </si>
  <si>
    <t>192.168.1.160</t>
  </si>
  <si>
    <t>GW2002</t>
  </si>
  <si>
    <t>38FFD6055347323637610643</t>
  </si>
  <si>
    <t>192.168.1.144</t>
  </si>
  <si>
    <t>GW2101</t>
  </si>
  <si>
    <t>38FFDA055347323639500643</t>
  </si>
  <si>
    <t>192.168.1.110</t>
  </si>
  <si>
    <t>GW2102</t>
  </si>
  <si>
    <t>39FFDB055256323423402343</t>
  </si>
  <si>
    <t>192.168.1.141</t>
  </si>
  <si>
    <t>GW2201</t>
  </si>
  <si>
    <t>38FFD5055347323639350643</t>
  </si>
  <si>
    <t>192.168.1.113</t>
  </si>
  <si>
    <t>GW2301</t>
  </si>
  <si>
    <t>38FFD9055347323639550643</t>
  </si>
  <si>
    <t>192.168.1.149</t>
  </si>
  <si>
    <t>GW2302</t>
  </si>
  <si>
    <t>37FFDA055348393842271543</t>
  </si>
  <si>
    <t>192.168.1.127</t>
  </si>
  <si>
    <t>GW2501</t>
  </si>
  <si>
    <t>192.168.0.1</t>
  </si>
  <si>
    <t>31FFD7055359373548451743</t>
  </si>
  <si>
    <t>192.168.0.160</t>
  </si>
  <si>
    <t>GW2503</t>
  </si>
  <si>
    <t>31FFD5055359373561521743</t>
  </si>
  <si>
    <t>192.168.0.162</t>
  </si>
  <si>
    <t>GW2601</t>
  </si>
  <si>
    <t>34FFD8054848333830552343</t>
  </si>
  <si>
    <t>192.168.0.185</t>
  </si>
  <si>
    <t>GW2602</t>
  </si>
  <si>
    <t>32FFD8054B41323250282343</t>
  </si>
  <si>
    <t>192.168.0.187</t>
  </si>
  <si>
    <t>CU编号</t>
  </si>
  <si>
    <t>理论条数</t>
  </si>
  <si>
    <t>数据条数</t>
  </si>
  <si>
    <t>丢包率</t>
  </si>
  <si>
    <t>GW条数</t>
  </si>
  <si>
    <t>GW01-01</t>
  </si>
  <si>
    <t>GW01-02</t>
  </si>
  <si>
    <t>GW01-03</t>
  </si>
  <si>
    <t>GW01-04</t>
  </si>
  <si>
    <t>GW01-05</t>
  </si>
  <si>
    <t>GW01-06</t>
  </si>
  <si>
    <t>GW01-07</t>
  </si>
  <si>
    <t>GW01-08</t>
  </si>
  <si>
    <t>GW01-09</t>
  </si>
  <si>
    <t>GW01-10</t>
  </si>
  <si>
    <t>GW01-11</t>
  </si>
  <si>
    <t>GW01-12</t>
  </si>
  <si>
    <t>GW01-13</t>
  </si>
  <si>
    <t>GW01-14</t>
  </si>
  <si>
    <t>GW01-15</t>
  </si>
  <si>
    <t>GW01-16</t>
  </si>
  <si>
    <t>GW02-01</t>
  </si>
  <si>
    <t>GW02-02</t>
  </si>
  <si>
    <t>GW02-03</t>
  </si>
  <si>
    <t>GW02-04</t>
  </si>
  <si>
    <t>GW02-05</t>
  </si>
  <si>
    <t>GW02-06</t>
  </si>
  <si>
    <t>GW02-07</t>
  </si>
  <si>
    <t>GW02-08</t>
  </si>
  <si>
    <t>GW02-09</t>
  </si>
  <si>
    <t>GW02-10</t>
  </si>
  <si>
    <t>GW02-11</t>
  </si>
  <si>
    <t>GW02-12</t>
  </si>
  <si>
    <t>GW02-13</t>
  </si>
  <si>
    <t>GW02-14</t>
  </si>
  <si>
    <t>GW02-15</t>
  </si>
  <si>
    <t>GW02-16</t>
  </si>
  <si>
    <t>GW02-17</t>
  </si>
  <si>
    <t>GW02-18</t>
  </si>
  <si>
    <t>GW02-19</t>
  </si>
  <si>
    <t>GW02-20</t>
  </si>
  <si>
    <t>GW03-01</t>
  </si>
  <si>
    <t>GW03-02</t>
  </si>
  <si>
    <t>GW03-03</t>
  </si>
  <si>
    <t>GW03-04</t>
  </si>
  <si>
    <t>GW03-05</t>
  </si>
  <si>
    <t>GW03-06</t>
  </si>
  <si>
    <t>GW03-07</t>
  </si>
  <si>
    <t>GW03-08</t>
  </si>
  <si>
    <t>GW03-09</t>
  </si>
  <si>
    <t>GW03-10</t>
  </si>
  <si>
    <t>GW03-11</t>
  </si>
  <si>
    <t>GW03-12</t>
  </si>
  <si>
    <t>GW03-13</t>
  </si>
  <si>
    <t>GW03-14</t>
  </si>
  <si>
    <t>GW03-15</t>
  </si>
  <si>
    <t>GW03-16</t>
  </si>
  <si>
    <t>GW03-17</t>
  </si>
  <si>
    <t>GW03-18</t>
  </si>
  <si>
    <t>GW03-19</t>
  </si>
  <si>
    <t>GW03-20</t>
  </si>
  <si>
    <t>GW04-01</t>
  </si>
  <si>
    <t>GW04-02</t>
  </si>
  <si>
    <t>GW04-03</t>
  </si>
  <si>
    <t>GW04-04</t>
  </si>
  <si>
    <t>GW04-05</t>
  </si>
  <si>
    <t>GW04-06</t>
  </si>
  <si>
    <t>GW04-07</t>
  </si>
  <si>
    <t>GW04-08</t>
  </si>
  <si>
    <t>GW04-09</t>
  </si>
  <si>
    <t>GW04-10</t>
  </si>
  <si>
    <t>GW04-11</t>
  </si>
  <si>
    <t>GW04-12</t>
  </si>
  <si>
    <t>GW04-13</t>
  </si>
  <si>
    <t>GW04-14</t>
  </si>
  <si>
    <t>GW04-15</t>
  </si>
  <si>
    <t>GW04-16</t>
  </si>
  <si>
    <t>GW04-17</t>
  </si>
  <si>
    <t>GW04-18</t>
  </si>
  <si>
    <t>GW04-19</t>
  </si>
  <si>
    <t>GW04-20</t>
  </si>
  <si>
    <t>GW05-01</t>
  </si>
  <si>
    <t>GW05-02</t>
  </si>
  <si>
    <t>GW05-03</t>
  </si>
  <si>
    <t>GW05-04</t>
  </si>
  <si>
    <t>GW05-05</t>
  </si>
  <si>
    <t>GW05-06</t>
  </si>
  <si>
    <t>GW05-07</t>
  </si>
  <si>
    <t>GW05-08</t>
  </si>
  <si>
    <t>GW05-09</t>
  </si>
  <si>
    <t>GW05-10</t>
  </si>
  <si>
    <t>GW05-11</t>
  </si>
  <si>
    <t>GW05-12</t>
  </si>
  <si>
    <t>GW05-13</t>
  </si>
  <si>
    <t>GW05-14</t>
  </si>
  <si>
    <t>GW05-15</t>
  </si>
  <si>
    <t>GW05-16</t>
  </si>
  <si>
    <t>GW05-17</t>
  </si>
  <si>
    <t>GW05-18</t>
  </si>
  <si>
    <t>GW05-19</t>
  </si>
  <si>
    <t>GW05-20</t>
  </si>
  <si>
    <t>GW06-01</t>
  </si>
  <si>
    <t>GW06-02</t>
  </si>
  <si>
    <t>GW06-03</t>
  </si>
  <si>
    <t>GW06-04</t>
  </si>
  <si>
    <t>GW06-05</t>
  </si>
  <si>
    <t>GW06-06</t>
  </si>
  <si>
    <t>GW06-07</t>
  </si>
  <si>
    <t>GW06-08</t>
  </si>
  <si>
    <t>GW06-09</t>
  </si>
  <si>
    <t>GW06-10</t>
  </si>
  <si>
    <t>GW06-11</t>
  </si>
  <si>
    <t>GW06-12</t>
  </si>
  <si>
    <t>GW06-13</t>
  </si>
  <si>
    <t>GW06-14</t>
  </si>
  <si>
    <t>GW06-15</t>
  </si>
  <si>
    <t>GW06-16</t>
  </si>
  <si>
    <t>GW06-17</t>
  </si>
  <si>
    <t>GW06-18</t>
  </si>
  <si>
    <t>GW06-19</t>
  </si>
  <si>
    <t>GW06-20</t>
  </si>
  <si>
    <t>GW07-01</t>
  </si>
  <si>
    <t>GW07-02</t>
  </si>
  <si>
    <t>GW07-03</t>
  </si>
  <si>
    <t>GW07-04</t>
  </si>
  <si>
    <t>GW07-05</t>
  </si>
  <si>
    <t>GW07-06</t>
  </si>
  <si>
    <t>GW07-07</t>
  </si>
  <si>
    <t>GW07-08</t>
  </si>
  <si>
    <t>GW07-09</t>
  </si>
  <si>
    <t>GW07-10</t>
  </si>
  <si>
    <t>GW07-11</t>
  </si>
  <si>
    <t>GW07-12</t>
  </si>
  <si>
    <t>GW07-13</t>
  </si>
  <si>
    <t>GW07-14</t>
  </si>
  <si>
    <t>GW07-15</t>
  </si>
  <si>
    <t>GW07-16</t>
  </si>
  <si>
    <t>GW07-17</t>
  </si>
  <si>
    <t>GW07-18</t>
  </si>
  <si>
    <t>GW07-19</t>
  </si>
  <si>
    <t>GW07-20</t>
  </si>
  <si>
    <t>GW07-21</t>
  </si>
  <si>
    <t>GW08-01</t>
  </si>
  <si>
    <t>GW08-02</t>
  </si>
  <si>
    <t>GW08-03</t>
  </si>
  <si>
    <t>GW08-04</t>
  </si>
  <si>
    <t>GW08-05</t>
  </si>
  <si>
    <t>GW08-06</t>
  </si>
  <si>
    <t>GW08-07</t>
  </si>
  <si>
    <t>GW08-08</t>
  </si>
  <si>
    <t>GW08-09</t>
  </si>
  <si>
    <t>GW08-10</t>
  </si>
  <si>
    <t>GW08-11</t>
  </si>
  <si>
    <t>GW08-12</t>
  </si>
  <si>
    <t>GW08-13</t>
  </si>
  <si>
    <t>GW08-14</t>
  </si>
  <si>
    <t>GW08-15</t>
  </si>
  <si>
    <t>GW08-16</t>
  </si>
  <si>
    <t>GW08-17</t>
  </si>
  <si>
    <t>GW08-18</t>
  </si>
  <si>
    <t>GW08-19</t>
  </si>
  <si>
    <t>GW08-20</t>
  </si>
  <si>
    <t>GW08-21</t>
  </si>
  <si>
    <t>GW08-22</t>
  </si>
  <si>
    <t>序号</t>
  </si>
  <si>
    <t>Gateway</t>
  </si>
  <si>
    <t>GatewayID</t>
  </si>
  <si>
    <t>ZigBeeID</t>
  </si>
  <si>
    <r>
      <rPr>
        <sz val="11"/>
        <color theme="1"/>
        <rFont val="Calibri"/>
        <charset val="134"/>
      </rPr>
      <t>CU</t>
    </r>
    <r>
      <rPr>
        <sz val="11"/>
        <color theme="1"/>
        <rFont val="等线"/>
        <charset val="134"/>
      </rPr>
      <t>名称</t>
    </r>
  </si>
  <si>
    <t>回路编号</t>
  </si>
  <si>
    <r>
      <rPr>
        <sz val="11"/>
        <color theme="1"/>
        <rFont val="微软雅黑"/>
        <charset val="134"/>
      </rPr>
      <t xml:space="preserve">最后一条能耗数据
</t>
    </r>
    <r>
      <rPr>
        <sz val="11"/>
        <color theme="1"/>
        <rFont val="Calibri"/>
        <charset val="134"/>
      </rPr>
      <t>2018/11/18</t>
    </r>
  </si>
  <si>
    <r>
      <rPr>
        <sz val="11"/>
        <color theme="1"/>
        <rFont val="Calibri"/>
        <charset val="134"/>
      </rPr>
      <t xml:space="preserve"> AM</t>
    </r>
    <r>
      <rPr>
        <sz val="11"/>
        <color theme="1"/>
        <rFont val="微软雅黑"/>
        <charset val="134"/>
      </rPr>
      <t>最后一条能耗数据</t>
    </r>
    <r>
      <rPr>
        <sz val="11"/>
        <color theme="1"/>
        <rFont val="Calibri"/>
        <charset val="134"/>
      </rPr>
      <t xml:space="preserve">
2018/11/18 7:30</t>
    </r>
  </si>
  <si>
    <t>GW02</t>
  </si>
  <si>
    <t>31FFDA054D50333330580643</t>
  </si>
  <si>
    <t>0E00</t>
  </si>
  <si>
    <t>1AL3-13L1</t>
  </si>
  <si>
    <t>0F00</t>
  </si>
  <si>
    <t>1200</t>
  </si>
  <si>
    <t>1300</t>
  </si>
  <si>
    <t>GW06</t>
  </si>
  <si>
    <t>31FFDB054D50333330590643</t>
  </si>
  <si>
    <t>0200</t>
  </si>
  <si>
    <t>0300</t>
  </si>
  <si>
    <t>GW01</t>
  </si>
  <si>
    <t>32FFD8054B41323234592443</t>
  </si>
  <si>
    <t>0800</t>
  </si>
  <si>
    <t>应急</t>
  </si>
  <si>
    <t>无</t>
  </si>
  <si>
    <t>0A00</t>
  </si>
  <si>
    <t>1AL3-20L2</t>
  </si>
  <si>
    <t>上线2018-11-19 07:36:04.000</t>
  </si>
  <si>
    <t>0400</t>
  </si>
  <si>
    <t>1AL3-21L3</t>
  </si>
  <si>
    <t>上线2018-11-19 07:36:06.000</t>
  </si>
  <si>
    <t>0900</t>
  </si>
  <si>
    <t>0B00</t>
  </si>
  <si>
    <t>1AL3-22L1</t>
  </si>
  <si>
    <t>上线2018-11-19 07:29:32.000</t>
  </si>
  <si>
    <t>0C00</t>
  </si>
  <si>
    <t>1AL3-12L3</t>
  </si>
  <si>
    <t>GW03</t>
  </si>
  <si>
    <t>32FFD4054B41323234402443</t>
  </si>
  <si>
    <t>0D00</t>
  </si>
  <si>
    <t>1AL3-14L2</t>
  </si>
  <si>
    <t>1000</t>
  </si>
  <si>
    <t>1100</t>
  </si>
  <si>
    <t>1AL3-15L3</t>
  </si>
  <si>
    <t>GW04</t>
  </si>
  <si>
    <t>30FFD2054B52343939570343</t>
  </si>
  <si>
    <t>0000</t>
  </si>
  <si>
    <t>1AL3-25L1</t>
  </si>
  <si>
    <t>上线2018-11-19 07:15:15.000</t>
  </si>
  <si>
    <t>1AL3-16L1</t>
  </si>
  <si>
    <t>1AL3-17L1</t>
  </si>
  <si>
    <t>上线2018-11-19 05:22:09.000</t>
  </si>
  <si>
    <t>1AL3-18L3</t>
  </si>
  <si>
    <t>GW05</t>
  </si>
  <si>
    <t>32FFD6054B41323255552543</t>
  </si>
  <si>
    <t>0700</t>
  </si>
  <si>
    <t>1AL3-3L3</t>
  </si>
  <si>
    <t>上线2018-11-19 07:42:05.000</t>
  </si>
  <si>
    <t>GW07</t>
  </si>
  <si>
    <t>32FFD5054B41323234562443</t>
  </si>
  <si>
    <t>0100</t>
  </si>
  <si>
    <t>0500</t>
  </si>
  <si>
    <t>0600</t>
  </si>
  <si>
    <t>GW08</t>
  </si>
  <si>
    <t>32FFD4054B41323248292543</t>
  </si>
  <si>
    <t>0D000</t>
  </si>
  <si>
    <t>掉线数量</t>
  </si>
  <si>
    <t>掉线率</t>
  </si>
  <si>
    <t>回路数量</t>
  </si>
  <si>
    <t>说明</t>
  </si>
  <si>
    <r>
      <rPr>
        <sz val="11"/>
        <color theme="1"/>
        <rFont val="Calibri"/>
        <charset val="134"/>
      </rPr>
      <t>13L1/14L2/15L3/</t>
    </r>
    <r>
      <rPr>
        <sz val="11"/>
        <color theme="1"/>
        <rFont val="微软雅黑"/>
        <charset val="134"/>
      </rPr>
      <t>应急回路全部掉线，共26个</t>
    </r>
  </si>
  <si>
    <t>COMAC-GW01</t>
  </si>
  <si>
    <t>192.168.1.121</t>
  </si>
  <si>
    <t>COMAC-GW02</t>
  </si>
  <si>
    <t>COMAC-GW03</t>
  </si>
  <si>
    <t>192.168.1.123</t>
  </si>
  <si>
    <t>COMAC-GW04</t>
  </si>
  <si>
    <t>COMAC-GW05</t>
  </si>
  <si>
    <t>192.168.0.184</t>
  </si>
  <si>
    <t>COMAC-GW06</t>
  </si>
  <si>
    <t>192.168.0.183</t>
  </si>
  <si>
    <t>COMAC-GW07</t>
  </si>
  <si>
    <t>192.168.0.182</t>
  </si>
  <si>
    <t>COMAC-GW08</t>
  </si>
  <si>
    <t>192.168.0.181</t>
  </si>
  <si>
    <r>
      <rPr>
        <b/>
        <u/>
        <sz val="11"/>
        <color theme="1"/>
        <rFont val="微软雅黑"/>
        <charset val="134"/>
      </rPr>
      <t>总计</t>
    </r>
  </si>
  <si>
    <t>Gateway_Mongo</t>
  </si>
  <si>
    <t>ZigbeeID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</si>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</sst>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\ h:mm:ss"/>
    <numFmt numFmtId="178" formatCode="0.0%"/>
    <numFmt numFmtId="179" formatCode="yyyy\-mm\-dd;@"/>
  </numFmts>
  <fonts count="32">
    <font>
      <sz val="11"/>
      <color theme="1"/>
      <name val="等线"/>
      <charset val="134"/>
      <scheme val="minor"/>
    </font>
    <font>
      <sz val="11"/>
      <color theme="1"/>
      <name val="Calibri"/>
      <charset val="134"/>
    </font>
    <font>
      <sz val="11"/>
      <color theme="1"/>
      <name val="微软雅黑"/>
      <charset val="134"/>
    </font>
    <font>
      <sz val="11"/>
      <color rgb="FFFFFFFF"/>
      <name val="Calibri"/>
      <charset val="134"/>
    </font>
    <font>
      <sz val="10"/>
      <color rgb="FF000000"/>
      <name val="Calibri"/>
      <charset val="134"/>
    </font>
    <font>
      <b/>
      <u/>
      <sz val="11"/>
      <color theme="1"/>
      <name val="Calibri"/>
      <charset val="134"/>
    </font>
    <font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FFFF"/>
      <name val="等线"/>
      <charset val="134"/>
    </font>
    <font>
      <b/>
      <u/>
      <sz val="11"/>
      <color theme="1"/>
      <name val="微软雅黑"/>
      <charset val="134"/>
    </font>
    <font>
      <sz val="11"/>
      <color theme="1"/>
      <name val="等线"/>
      <charset val="134"/>
    </font>
  </fonts>
  <fills count="4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5E9CD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3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176" fontId="4" fillId="4" borderId="1" xfId="0" applyNumberFormat="1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1" fillId="0" borderId="0" xfId="0" applyFont="1" applyAlignment="1">
      <alignment horizontal="center"/>
    </xf>
    <xf numFmtId="177" fontId="1" fillId="0" borderId="0" xfId="0" applyNumberFormat="1" applyFont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178" fontId="1" fillId="0" borderId="1" xfId="0" applyNumberFormat="1" applyFont="1" applyBorder="1" applyAlignment="1">
      <alignment horizontal="center"/>
    </xf>
    <xf numFmtId="5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/>
    <xf numFmtId="0" fontId="2" fillId="2" borderId="1" xfId="0" applyFont="1" applyFill="1" applyBorder="1"/>
    <xf numFmtId="0" fontId="2" fillId="0" borderId="2" xfId="0" applyFont="1" applyBorder="1"/>
    <xf numFmtId="0" fontId="7" fillId="4" borderId="1" xfId="0" applyFont="1" applyFill="1" applyBorder="1" applyAlignment="1">
      <alignment horizontal="center" vertical="top" wrapText="1"/>
    </xf>
    <xf numFmtId="10" fontId="2" fillId="0" borderId="1" xfId="3" applyNumberFormat="1" applyFont="1" applyBorder="1" applyAlignment="1"/>
    <xf numFmtId="0" fontId="0" fillId="0" borderId="1" xfId="0" applyBorder="1"/>
    <xf numFmtId="9" fontId="2" fillId="0" borderId="1" xfId="3" applyFont="1" applyBorder="1" applyAlignment="1"/>
    <xf numFmtId="176" fontId="2" fillId="0" borderId="1" xfId="3" applyNumberFormat="1" applyFont="1" applyBorder="1" applyAlignment="1"/>
    <xf numFmtId="0" fontId="8" fillId="4" borderId="1" xfId="0" applyFont="1" applyFill="1" applyBorder="1" applyAlignment="1">
      <alignment horizontal="center" vertical="top" wrapText="1"/>
    </xf>
    <xf numFmtId="176" fontId="8" fillId="4" borderId="1" xfId="0" applyNumberFormat="1" applyFont="1" applyFill="1" applyBorder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176" fontId="4" fillId="4" borderId="0" xfId="0" applyNumberFormat="1" applyFont="1" applyFill="1" applyAlignment="1">
      <alignment horizontal="center" vertical="top" wrapText="1"/>
    </xf>
    <xf numFmtId="179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horizontal="center" vertical="top" wrapText="1"/>
    </xf>
    <xf numFmtId="0" fontId="8" fillId="4" borderId="1" xfId="0" applyNumberFormat="1" applyFont="1" applyFill="1" applyBorder="1" applyAlignment="1">
      <alignment horizontal="center" vertical="top" wrapText="1"/>
    </xf>
    <xf numFmtId="176" fontId="4" fillId="4" borderId="0" xfId="0" applyNumberFormat="1" applyFont="1" applyFill="1" applyBorder="1" applyAlignment="1">
      <alignment horizontal="center" vertical="top" wrapText="1"/>
    </xf>
    <xf numFmtId="0" fontId="4" fillId="4" borderId="0" xfId="0" applyFont="1" applyFill="1" applyBorder="1" applyAlignment="1">
      <alignment horizontal="center" vertical="top" wrapText="1"/>
    </xf>
    <xf numFmtId="9" fontId="4" fillId="4" borderId="0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3A3838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GW</a:t>
            </a:r>
            <a:r>
              <a:rPr lang="zh-CN" altLang="en-US"/>
              <a:t>丢包率</a:t>
            </a:r>
            <a:r>
              <a:rPr lang="en-US" altLang="zh-CN"/>
              <a:t>-11/19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'掉线率-GW'!$A$2:$A$39</c:f>
              <c:strCache>
                <c:ptCount val="38"/>
                <c:pt idx="0">
                  <c:v>GW0301</c:v>
                </c:pt>
                <c:pt idx="1">
                  <c:v>GW0302</c:v>
                </c:pt>
                <c:pt idx="2">
                  <c:v>GW0501</c:v>
                </c:pt>
                <c:pt idx="3">
                  <c:v>GW0502</c:v>
                </c:pt>
                <c:pt idx="4">
                  <c:v>GW0601</c:v>
                </c:pt>
                <c:pt idx="5">
                  <c:v>GW0602</c:v>
                </c:pt>
                <c:pt idx="6">
                  <c:v>GW0701</c:v>
                </c:pt>
                <c:pt idx="7">
                  <c:v>GW0702</c:v>
                </c:pt>
                <c:pt idx="8">
                  <c:v>GW0801</c:v>
                </c:pt>
                <c:pt idx="9">
                  <c:v>GW0802</c:v>
                </c:pt>
                <c:pt idx="10">
                  <c:v>GW0901</c:v>
                </c:pt>
                <c:pt idx="11">
                  <c:v>GW0902</c:v>
                </c:pt>
                <c:pt idx="12">
                  <c:v>GW1001</c:v>
                </c:pt>
                <c:pt idx="13">
                  <c:v>GW1002</c:v>
                </c:pt>
                <c:pt idx="14">
                  <c:v>GW1101</c:v>
                </c:pt>
                <c:pt idx="15">
                  <c:v>GW1102</c:v>
                </c:pt>
                <c:pt idx="16">
                  <c:v>GW1201</c:v>
                </c:pt>
                <c:pt idx="17">
                  <c:v>GW1202</c:v>
                </c:pt>
                <c:pt idx="18">
                  <c:v>GW1501</c:v>
                </c:pt>
                <c:pt idx="19">
                  <c:v>GW1502</c:v>
                </c:pt>
                <c:pt idx="20">
                  <c:v>GW1601</c:v>
                </c:pt>
                <c:pt idx="21">
                  <c:v>GW1602</c:v>
                </c:pt>
                <c:pt idx="22">
                  <c:v>GW1701</c:v>
                </c:pt>
                <c:pt idx="23">
                  <c:v>GW1702</c:v>
                </c:pt>
                <c:pt idx="24">
                  <c:v>GW1801</c:v>
                </c:pt>
                <c:pt idx="25">
                  <c:v>GW1802</c:v>
                </c:pt>
                <c:pt idx="26">
                  <c:v>GW1901</c:v>
                </c:pt>
                <c:pt idx="27">
                  <c:v>GW1902</c:v>
                </c:pt>
                <c:pt idx="28">
                  <c:v>GW2001</c:v>
                </c:pt>
                <c:pt idx="29">
                  <c:v>GW2002</c:v>
                </c:pt>
                <c:pt idx="30">
                  <c:v>GW2101</c:v>
                </c:pt>
                <c:pt idx="31">
                  <c:v>GW2102</c:v>
                </c:pt>
                <c:pt idx="32">
                  <c:v>GW2201</c:v>
                </c:pt>
                <c:pt idx="33">
                  <c:v>GW2301</c:v>
                </c:pt>
                <c:pt idx="34">
                  <c:v>GW2302</c:v>
                </c:pt>
                <c:pt idx="35">
                  <c:v>GW2501</c:v>
                </c:pt>
                <c:pt idx="36">
                  <c:v>GW2503</c:v>
                </c:pt>
                <c:pt idx="37">
                  <c:v>GW2601</c:v>
                </c:pt>
              </c:strCache>
            </c:strRef>
          </c:cat>
          <c:val>
            <c:numRef>
              <c:f>'掉线率-GW'!$K$2:$K$39</c:f>
              <c:numCache>
                <c:formatCode>General</c:formatCode>
                <c:ptCount val="38"/>
                <c:pt idx="0">
                  <c:v>15.52</c:v>
                </c:pt>
                <c:pt idx="1">
                  <c:v>23.16</c:v>
                </c:pt>
                <c:pt idx="2">
                  <c:v>29.9</c:v>
                </c:pt>
                <c:pt idx="3">
                  <c:v>27.05</c:v>
                </c:pt>
                <c:pt idx="4">
                  <c:v>25.45</c:v>
                </c:pt>
                <c:pt idx="5">
                  <c:v>31.49</c:v>
                </c:pt>
                <c:pt idx="6">
                  <c:v>23.13</c:v>
                </c:pt>
                <c:pt idx="7">
                  <c:v>20.1</c:v>
                </c:pt>
                <c:pt idx="8">
                  <c:v>30.03</c:v>
                </c:pt>
                <c:pt idx="9">
                  <c:v>41.56</c:v>
                </c:pt>
                <c:pt idx="10">
                  <c:v>45.17</c:v>
                </c:pt>
                <c:pt idx="11">
                  <c:v>21.98</c:v>
                </c:pt>
                <c:pt idx="12">
                  <c:v>26.84</c:v>
                </c:pt>
                <c:pt idx="13">
                  <c:v>22.01</c:v>
                </c:pt>
                <c:pt idx="14">
                  <c:v>12.05</c:v>
                </c:pt>
                <c:pt idx="15">
                  <c:v>17.53</c:v>
                </c:pt>
                <c:pt idx="16">
                  <c:v>36.46</c:v>
                </c:pt>
                <c:pt idx="17">
                  <c:v>25.03</c:v>
                </c:pt>
                <c:pt idx="18">
                  <c:v>27.88</c:v>
                </c:pt>
                <c:pt idx="19">
                  <c:v>17.33</c:v>
                </c:pt>
                <c:pt idx="20">
                  <c:v>26.53</c:v>
                </c:pt>
                <c:pt idx="21">
                  <c:v>21.32</c:v>
                </c:pt>
                <c:pt idx="22">
                  <c:v>18.72</c:v>
                </c:pt>
                <c:pt idx="23">
                  <c:v>29.76</c:v>
                </c:pt>
                <c:pt idx="24">
                  <c:v>21.25</c:v>
                </c:pt>
                <c:pt idx="25">
                  <c:v>22.85</c:v>
                </c:pt>
                <c:pt idx="26">
                  <c:v>16.67</c:v>
                </c:pt>
                <c:pt idx="27">
                  <c:v>22.88</c:v>
                </c:pt>
                <c:pt idx="28">
                  <c:v>11.32</c:v>
                </c:pt>
                <c:pt idx="29">
                  <c:v>12.78</c:v>
                </c:pt>
                <c:pt idx="30">
                  <c:v>24.06</c:v>
                </c:pt>
                <c:pt idx="31">
                  <c:v>16.42</c:v>
                </c:pt>
                <c:pt idx="32">
                  <c:v>24.58</c:v>
                </c:pt>
                <c:pt idx="33">
                  <c:v>12.19</c:v>
                </c:pt>
                <c:pt idx="34">
                  <c:v>-246.46</c:v>
                </c:pt>
                <c:pt idx="35">
                  <c:v>5.21</c:v>
                </c:pt>
                <c:pt idx="36">
                  <c:v>5.56</c:v>
                </c:pt>
                <c:pt idx="37">
                  <c:v>17.6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946272"/>
        <c:axId val="1944164256"/>
      </c:barChart>
      <c:catAx>
        <c:axId val="209394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4164256"/>
        <c:crosses val="autoZero"/>
        <c:auto val="1"/>
        <c:lblAlgn val="ctr"/>
        <c:lblOffset val="100"/>
        <c:noMultiLvlLbl val="0"/>
      </c:catAx>
      <c:valAx>
        <c:axId val="194416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394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4c6d75-6f53-4c04-bb50-a6e12967d2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网关数据条数</a:t>
            </a:r>
            <a:r>
              <a:rPr lang="en-US" altLang="zh-CN"/>
              <a:t>-11/19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'掉线率-GW'!$A$2:$A$39</c:f>
              <c:strCache>
                <c:ptCount val="38"/>
                <c:pt idx="0">
                  <c:v>GW0301</c:v>
                </c:pt>
                <c:pt idx="1">
                  <c:v>GW0302</c:v>
                </c:pt>
                <c:pt idx="2">
                  <c:v>GW0501</c:v>
                </c:pt>
                <c:pt idx="3">
                  <c:v>GW0502</c:v>
                </c:pt>
                <c:pt idx="4">
                  <c:v>GW0601</c:v>
                </c:pt>
                <c:pt idx="5">
                  <c:v>GW0602</c:v>
                </c:pt>
                <c:pt idx="6">
                  <c:v>GW0701</c:v>
                </c:pt>
                <c:pt idx="7">
                  <c:v>GW0702</c:v>
                </c:pt>
                <c:pt idx="8">
                  <c:v>GW0801</c:v>
                </c:pt>
                <c:pt idx="9">
                  <c:v>GW0802</c:v>
                </c:pt>
                <c:pt idx="10">
                  <c:v>GW0901</c:v>
                </c:pt>
                <c:pt idx="11">
                  <c:v>GW0902</c:v>
                </c:pt>
                <c:pt idx="12">
                  <c:v>GW1001</c:v>
                </c:pt>
                <c:pt idx="13">
                  <c:v>GW1002</c:v>
                </c:pt>
                <c:pt idx="14">
                  <c:v>GW1101</c:v>
                </c:pt>
                <c:pt idx="15">
                  <c:v>GW1102</c:v>
                </c:pt>
                <c:pt idx="16">
                  <c:v>GW1201</c:v>
                </c:pt>
                <c:pt idx="17">
                  <c:v>GW1202</c:v>
                </c:pt>
                <c:pt idx="18">
                  <c:v>GW1501</c:v>
                </c:pt>
                <c:pt idx="19">
                  <c:v>GW1502</c:v>
                </c:pt>
                <c:pt idx="20">
                  <c:v>GW1601</c:v>
                </c:pt>
                <c:pt idx="21">
                  <c:v>GW1602</c:v>
                </c:pt>
                <c:pt idx="22">
                  <c:v>GW1701</c:v>
                </c:pt>
                <c:pt idx="23">
                  <c:v>GW1702</c:v>
                </c:pt>
                <c:pt idx="24">
                  <c:v>GW1801</c:v>
                </c:pt>
                <c:pt idx="25">
                  <c:v>GW1802</c:v>
                </c:pt>
                <c:pt idx="26">
                  <c:v>GW1901</c:v>
                </c:pt>
                <c:pt idx="27">
                  <c:v>GW1902</c:v>
                </c:pt>
                <c:pt idx="28">
                  <c:v>GW2001</c:v>
                </c:pt>
                <c:pt idx="29">
                  <c:v>GW2002</c:v>
                </c:pt>
                <c:pt idx="30">
                  <c:v>GW2101</c:v>
                </c:pt>
                <c:pt idx="31">
                  <c:v>GW2102</c:v>
                </c:pt>
                <c:pt idx="32">
                  <c:v>GW2201</c:v>
                </c:pt>
                <c:pt idx="33">
                  <c:v>GW2301</c:v>
                </c:pt>
                <c:pt idx="34">
                  <c:v>GW2302</c:v>
                </c:pt>
                <c:pt idx="35">
                  <c:v>GW2501</c:v>
                </c:pt>
                <c:pt idx="36">
                  <c:v>GW2503</c:v>
                </c:pt>
                <c:pt idx="37">
                  <c:v>GW2601</c:v>
                </c:pt>
              </c:strCache>
            </c:strRef>
          </c:cat>
          <c:val>
            <c:numRef>
              <c:f>'掉线率-GW'!$J$2:$J$39</c:f>
              <c:numCache>
                <c:formatCode>General</c:formatCode>
                <c:ptCount val="38"/>
                <c:pt idx="0">
                  <c:v>2433</c:v>
                </c:pt>
                <c:pt idx="1">
                  <c:v>2213</c:v>
                </c:pt>
                <c:pt idx="2">
                  <c:v>2019</c:v>
                </c:pt>
                <c:pt idx="3">
                  <c:v>2101</c:v>
                </c:pt>
                <c:pt idx="4">
                  <c:v>2147</c:v>
                </c:pt>
                <c:pt idx="5">
                  <c:v>1973</c:v>
                </c:pt>
                <c:pt idx="6">
                  <c:v>2214</c:v>
                </c:pt>
                <c:pt idx="7">
                  <c:v>2301</c:v>
                </c:pt>
                <c:pt idx="8">
                  <c:v>2015</c:v>
                </c:pt>
                <c:pt idx="9">
                  <c:v>1683</c:v>
                </c:pt>
                <c:pt idx="10">
                  <c:v>1579</c:v>
                </c:pt>
                <c:pt idx="11">
                  <c:v>2247</c:v>
                </c:pt>
                <c:pt idx="12">
                  <c:v>2107</c:v>
                </c:pt>
                <c:pt idx="13">
                  <c:v>2246</c:v>
                </c:pt>
                <c:pt idx="14">
                  <c:v>2533</c:v>
                </c:pt>
                <c:pt idx="15">
                  <c:v>2375</c:v>
                </c:pt>
                <c:pt idx="16">
                  <c:v>1830</c:v>
                </c:pt>
                <c:pt idx="17">
                  <c:v>2159</c:v>
                </c:pt>
                <c:pt idx="18">
                  <c:v>2077</c:v>
                </c:pt>
                <c:pt idx="19">
                  <c:v>2381</c:v>
                </c:pt>
                <c:pt idx="20">
                  <c:v>2116</c:v>
                </c:pt>
                <c:pt idx="21">
                  <c:v>2266</c:v>
                </c:pt>
                <c:pt idx="22">
                  <c:v>2341</c:v>
                </c:pt>
                <c:pt idx="23">
                  <c:v>2023</c:v>
                </c:pt>
                <c:pt idx="24">
                  <c:v>2268</c:v>
                </c:pt>
                <c:pt idx="25">
                  <c:v>2222</c:v>
                </c:pt>
                <c:pt idx="26">
                  <c:v>2400</c:v>
                </c:pt>
                <c:pt idx="27">
                  <c:v>2221</c:v>
                </c:pt>
                <c:pt idx="28">
                  <c:v>2554</c:v>
                </c:pt>
                <c:pt idx="29">
                  <c:v>2512</c:v>
                </c:pt>
                <c:pt idx="30">
                  <c:v>2187</c:v>
                </c:pt>
                <c:pt idx="31">
                  <c:v>2407</c:v>
                </c:pt>
                <c:pt idx="32">
                  <c:v>2172</c:v>
                </c:pt>
                <c:pt idx="33">
                  <c:v>2529</c:v>
                </c:pt>
                <c:pt idx="34">
                  <c:v>9978</c:v>
                </c:pt>
                <c:pt idx="35">
                  <c:v>2730</c:v>
                </c:pt>
                <c:pt idx="36">
                  <c:v>2720</c:v>
                </c:pt>
                <c:pt idx="37">
                  <c:v>2373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9023344"/>
        <c:axId val="1704329600"/>
      </c:barChart>
      <c:catAx>
        <c:axId val="193902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04329600"/>
        <c:crosses val="autoZero"/>
        <c:auto val="1"/>
        <c:lblAlgn val="ctr"/>
        <c:lblOffset val="100"/>
        <c:noMultiLvlLbl val="0"/>
      </c:catAx>
      <c:valAx>
        <c:axId val="170432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902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fe3a975-4a30-4dc8-bab6-ac6d8a5c36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网关数据条数</a:t>
            </a:r>
            <a:r>
              <a:rPr lang="en-US" altLang="zh-CN"/>
              <a:t>-11/20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'掉线率-GW'!$A$2:$A$39</c:f>
              <c:strCache>
                <c:ptCount val="38"/>
                <c:pt idx="0">
                  <c:v>GW0301</c:v>
                </c:pt>
                <c:pt idx="1">
                  <c:v>GW0302</c:v>
                </c:pt>
                <c:pt idx="2">
                  <c:v>GW0501</c:v>
                </c:pt>
                <c:pt idx="3">
                  <c:v>GW0502</c:v>
                </c:pt>
                <c:pt idx="4">
                  <c:v>GW0601</c:v>
                </c:pt>
                <c:pt idx="5">
                  <c:v>GW0602</c:v>
                </c:pt>
                <c:pt idx="6">
                  <c:v>GW0701</c:v>
                </c:pt>
                <c:pt idx="7">
                  <c:v>GW0702</c:v>
                </c:pt>
                <c:pt idx="8">
                  <c:v>GW0801</c:v>
                </c:pt>
                <c:pt idx="9">
                  <c:v>GW0802</c:v>
                </c:pt>
                <c:pt idx="10">
                  <c:v>GW0901</c:v>
                </c:pt>
                <c:pt idx="11">
                  <c:v>GW0902</c:v>
                </c:pt>
                <c:pt idx="12">
                  <c:v>GW1001</c:v>
                </c:pt>
                <c:pt idx="13">
                  <c:v>GW1002</c:v>
                </c:pt>
                <c:pt idx="14">
                  <c:v>GW1101</c:v>
                </c:pt>
                <c:pt idx="15">
                  <c:v>GW1102</c:v>
                </c:pt>
                <c:pt idx="16">
                  <c:v>GW1201</c:v>
                </c:pt>
                <c:pt idx="17">
                  <c:v>GW1202</c:v>
                </c:pt>
                <c:pt idx="18">
                  <c:v>GW1501</c:v>
                </c:pt>
                <c:pt idx="19">
                  <c:v>GW1502</c:v>
                </c:pt>
                <c:pt idx="20">
                  <c:v>GW1601</c:v>
                </c:pt>
                <c:pt idx="21">
                  <c:v>GW1602</c:v>
                </c:pt>
                <c:pt idx="22">
                  <c:v>GW1701</c:v>
                </c:pt>
                <c:pt idx="23">
                  <c:v>GW1702</c:v>
                </c:pt>
                <c:pt idx="24">
                  <c:v>GW1801</c:v>
                </c:pt>
                <c:pt idx="25">
                  <c:v>GW1802</c:v>
                </c:pt>
                <c:pt idx="26">
                  <c:v>GW1901</c:v>
                </c:pt>
                <c:pt idx="27">
                  <c:v>GW1902</c:v>
                </c:pt>
                <c:pt idx="28">
                  <c:v>GW2001</c:v>
                </c:pt>
                <c:pt idx="29">
                  <c:v>GW2002</c:v>
                </c:pt>
                <c:pt idx="30">
                  <c:v>GW2101</c:v>
                </c:pt>
                <c:pt idx="31">
                  <c:v>GW2102</c:v>
                </c:pt>
                <c:pt idx="32">
                  <c:v>GW2201</c:v>
                </c:pt>
                <c:pt idx="33">
                  <c:v>GW2301</c:v>
                </c:pt>
                <c:pt idx="34">
                  <c:v>GW2302</c:v>
                </c:pt>
                <c:pt idx="35">
                  <c:v>GW2501</c:v>
                </c:pt>
                <c:pt idx="36">
                  <c:v>GW2503</c:v>
                </c:pt>
                <c:pt idx="37">
                  <c:v>GW2601</c:v>
                </c:pt>
              </c:strCache>
            </c:strRef>
          </c:cat>
          <c:val>
            <c:numRef>
              <c:f>'掉线率-GW'!$L$2:$L$39</c:f>
              <c:numCache>
                <c:formatCode>General</c:formatCode>
                <c:ptCount val="38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4872640"/>
        <c:axId val="1931721472"/>
      </c:barChart>
      <c:catAx>
        <c:axId val="193487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1721472"/>
        <c:crosses val="autoZero"/>
        <c:auto val="1"/>
        <c:lblAlgn val="ctr"/>
        <c:lblOffset val="100"/>
        <c:noMultiLvlLbl val="0"/>
      </c:catAx>
      <c:valAx>
        <c:axId val="193172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487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27d3de1-35ab-4bc0-b16a-2b878f2b3c6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GW</a:t>
            </a:r>
            <a:r>
              <a:rPr lang="zh-CN" altLang="en-US"/>
              <a:t>丢包率</a:t>
            </a:r>
            <a:r>
              <a:rPr lang="en-US" altLang="zh-CN"/>
              <a:t>-11/20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'掉线率-GW'!$A$2:$A$39</c:f>
              <c:strCache>
                <c:ptCount val="38"/>
                <c:pt idx="0">
                  <c:v>GW0301</c:v>
                </c:pt>
                <c:pt idx="1">
                  <c:v>GW0302</c:v>
                </c:pt>
                <c:pt idx="2">
                  <c:v>GW0501</c:v>
                </c:pt>
                <c:pt idx="3">
                  <c:v>GW0502</c:v>
                </c:pt>
                <c:pt idx="4">
                  <c:v>GW0601</c:v>
                </c:pt>
                <c:pt idx="5">
                  <c:v>GW0602</c:v>
                </c:pt>
                <c:pt idx="6">
                  <c:v>GW0701</c:v>
                </c:pt>
                <c:pt idx="7">
                  <c:v>GW0702</c:v>
                </c:pt>
                <c:pt idx="8">
                  <c:v>GW0801</c:v>
                </c:pt>
                <c:pt idx="9">
                  <c:v>GW0802</c:v>
                </c:pt>
                <c:pt idx="10">
                  <c:v>GW0901</c:v>
                </c:pt>
                <c:pt idx="11">
                  <c:v>GW0902</c:v>
                </c:pt>
                <c:pt idx="12">
                  <c:v>GW1001</c:v>
                </c:pt>
                <c:pt idx="13">
                  <c:v>GW1002</c:v>
                </c:pt>
                <c:pt idx="14">
                  <c:v>GW1101</c:v>
                </c:pt>
                <c:pt idx="15">
                  <c:v>GW1102</c:v>
                </c:pt>
                <c:pt idx="16">
                  <c:v>GW1201</c:v>
                </c:pt>
                <c:pt idx="17">
                  <c:v>GW1202</c:v>
                </c:pt>
                <c:pt idx="18">
                  <c:v>GW1501</c:v>
                </c:pt>
                <c:pt idx="19">
                  <c:v>GW1502</c:v>
                </c:pt>
                <c:pt idx="20">
                  <c:v>GW1601</c:v>
                </c:pt>
                <c:pt idx="21">
                  <c:v>GW1602</c:v>
                </c:pt>
                <c:pt idx="22">
                  <c:v>GW1701</c:v>
                </c:pt>
                <c:pt idx="23">
                  <c:v>GW1702</c:v>
                </c:pt>
                <c:pt idx="24">
                  <c:v>GW1801</c:v>
                </c:pt>
                <c:pt idx="25">
                  <c:v>GW1802</c:v>
                </c:pt>
                <c:pt idx="26">
                  <c:v>GW1901</c:v>
                </c:pt>
                <c:pt idx="27">
                  <c:v>GW1902</c:v>
                </c:pt>
                <c:pt idx="28">
                  <c:v>GW2001</c:v>
                </c:pt>
                <c:pt idx="29">
                  <c:v>GW2002</c:v>
                </c:pt>
                <c:pt idx="30">
                  <c:v>GW2101</c:v>
                </c:pt>
                <c:pt idx="31">
                  <c:v>GW2102</c:v>
                </c:pt>
                <c:pt idx="32">
                  <c:v>GW2201</c:v>
                </c:pt>
                <c:pt idx="33">
                  <c:v>GW2301</c:v>
                </c:pt>
                <c:pt idx="34">
                  <c:v>GW2302</c:v>
                </c:pt>
                <c:pt idx="35">
                  <c:v>GW2501</c:v>
                </c:pt>
                <c:pt idx="36">
                  <c:v>GW2503</c:v>
                </c:pt>
                <c:pt idx="37">
                  <c:v>GW2601</c:v>
                </c:pt>
              </c:strCache>
            </c:strRef>
          </c:cat>
          <c:val>
            <c:numRef>
              <c:f>'掉线率-GW'!$M$2:$M$39</c:f>
              <c:numCache>
                <c:formatCode>0%</c:formatCode>
                <c:ptCount val="3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4874240"/>
        <c:axId val="1931712736"/>
      </c:barChart>
      <c:catAx>
        <c:axId val="193487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1712736"/>
        <c:crosses val="autoZero"/>
        <c:auto val="1"/>
        <c:lblAlgn val="ctr"/>
        <c:lblOffset val="100"/>
        <c:noMultiLvlLbl val="0"/>
      </c:catAx>
      <c:valAx>
        <c:axId val="19317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487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7e50046-5513-44a6-9efa-89ed32c1f48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GW01-11/19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'掉线率-CU'!$A$3:$A$18</c:f>
              <c:strCache>
                <c:ptCount val="16"/>
                <c:pt idx="0">
                  <c:v>GW01-01</c:v>
                </c:pt>
                <c:pt idx="1">
                  <c:v>GW01-02</c:v>
                </c:pt>
                <c:pt idx="2">
                  <c:v>GW01-03</c:v>
                </c:pt>
                <c:pt idx="3">
                  <c:v>GW01-04</c:v>
                </c:pt>
                <c:pt idx="4">
                  <c:v>GW01-05</c:v>
                </c:pt>
                <c:pt idx="5">
                  <c:v>GW01-06</c:v>
                </c:pt>
                <c:pt idx="6">
                  <c:v>GW01-07</c:v>
                </c:pt>
                <c:pt idx="7">
                  <c:v>GW01-08</c:v>
                </c:pt>
                <c:pt idx="8">
                  <c:v>GW01-09</c:v>
                </c:pt>
                <c:pt idx="9">
                  <c:v>GW01-10</c:v>
                </c:pt>
                <c:pt idx="10">
                  <c:v>GW01-11</c:v>
                </c:pt>
                <c:pt idx="11">
                  <c:v>GW01-12</c:v>
                </c:pt>
                <c:pt idx="12">
                  <c:v>GW01-13</c:v>
                </c:pt>
                <c:pt idx="13">
                  <c:v>GW01-14</c:v>
                </c:pt>
                <c:pt idx="14">
                  <c:v>GW01-15</c:v>
                </c:pt>
                <c:pt idx="15">
                  <c:v>GW01-16</c:v>
                </c:pt>
              </c:strCache>
            </c:strRef>
          </c:cat>
          <c:val>
            <c:numRef>
              <c:f>'掉线率-CU'!$C$3:$C$18</c:f>
              <c:numCache>
                <c:formatCode>General</c:formatCode>
                <c:ptCount val="16"/>
                <c:pt idx="0">
                  <c:v>178</c:v>
                </c:pt>
                <c:pt idx="1">
                  <c:v>179</c:v>
                </c:pt>
                <c:pt idx="2">
                  <c:v>177</c:v>
                </c:pt>
                <c:pt idx="3">
                  <c:v>177</c:v>
                </c:pt>
                <c:pt idx="4">
                  <c:v>127</c:v>
                </c:pt>
                <c:pt idx="5">
                  <c:v>163</c:v>
                </c:pt>
                <c:pt idx="6">
                  <c:v>120</c:v>
                </c:pt>
                <c:pt idx="7">
                  <c:v>119</c:v>
                </c:pt>
                <c:pt idx="8">
                  <c:v>95</c:v>
                </c:pt>
                <c:pt idx="9">
                  <c:v>168</c:v>
                </c:pt>
                <c:pt idx="10">
                  <c:v>119</c:v>
                </c:pt>
                <c:pt idx="11">
                  <c:v>156</c:v>
                </c:pt>
                <c:pt idx="12">
                  <c:v>169</c:v>
                </c:pt>
                <c:pt idx="13">
                  <c:v>146</c:v>
                </c:pt>
                <c:pt idx="14">
                  <c:v>162</c:v>
                </c:pt>
                <c:pt idx="15">
                  <c:v>178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5299632"/>
        <c:axId val="1981165216"/>
      </c:barChart>
      <c:catAx>
        <c:axId val="1975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1165216"/>
        <c:crosses val="autoZero"/>
        <c:auto val="1"/>
        <c:lblAlgn val="ctr"/>
        <c:lblOffset val="100"/>
        <c:noMultiLvlLbl val="0"/>
      </c:catAx>
      <c:valAx>
        <c:axId val="198116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529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7cc4e96-cb09-417e-9334-e57e603414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GW02-11/19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'掉线率-CU'!$A$19:$A$38</c:f>
              <c:strCache>
                <c:ptCount val="20"/>
                <c:pt idx="0">
                  <c:v>GW02-01</c:v>
                </c:pt>
                <c:pt idx="1">
                  <c:v>GW02-02</c:v>
                </c:pt>
                <c:pt idx="2">
                  <c:v>GW02-03</c:v>
                </c:pt>
                <c:pt idx="3">
                  <c:v>GW02-04</c:v>
                </c:pt>
                <c:pt idx="4">
                  <c:v>GW02-05</c:v>
                </c:pt>
                <c:pt idx="5">
                  <c:v>GW02-06</c:v>
                </c:pt>
                <c:pt idx="6">
                  <c:v>GW02-07</c:v>
                </c:pt>
                <c:pt idx="7">
                  <c:v>GW02-08</c:v>
                </c:pt>
                <c:pt idx="8">
                  <c:v>GW02-09</c:v>
                </c:pt>
                <c:pt idx="9">
                  <c:v>GW02-10</c:v>
                </c:pt>
                <c:pt idx="10">
                  <c:v>GW02-11</c:v>
                </c:pt>
                <c:pt idx="11">
                  <c:v>GW02-12</c:v>
                </c:pt>
                <c:pt idx="12">
                  <c:v>GW02-13</c:v>
                </c:pt>
                <c:pt idx="13">
                  <c:v>GW02-14</c:v>
                </c:pt>
                <c:pt idx="14">
                  <c:v>GW02-15</c:v>
                </c:pt>
                <c:pt idx="15">
                  <c:v>GW02-16</c:v>
                </c:pt>
                <c:pt idx="16">
                  <c:v>GW02-17</c:v>
                </c:pt>
                <c:pt idx="17">
                  <c:v>GW02-18</c:v>
                </c:pt>
                <c:pt idx="18">
                  <c:v>GW02-19</c:v>
                </c:pt>
                <c:pt idx="19">
                  <c:v>GW02-20</c:v>
                </c:pt>
              </c:strCache>
            </c:strRef>
          </c:cat>
          <c:val>
            <c:numRef>
              <c:f>'掉线率-CU'!$C$19:$C$38</c:f>
              <c:numCache>
                <c:formatCode>General</c:formatCode>
                <c:ptCount val="20"/>
                <c:pt idx="0">
                  <c:v>142</c:v>
                </c:pt>
                <c:pt idx="1">
                  <c:v>141</c:v>
                </c:pt>
                <c:pt idx="2">
                  <c:v>143</c:v>
                </c:pt>
                <c:pt idx="3">
                  <c:v>142</c:v>
                </c:pt>
                <c:pt idx="4">
                  <c:v>92</c:v>
                </c:pt>
                <c:pt idx="5">
                  <c:v>143</c:v>
                </c:pt>
                <c:pt idx="6">
                  <c:v>143</c:v>
                </c:pt>
                <c:pt idx="7">
                  <c:v>122</c:v>
                </c:pt>
                <c:pt idx="8">
                  <c:v>143</c:v>
                </c:pt>
                <c:pt idx="9">
                  <c:v>86</c:v>
                </c:pt>
                <c:pt idx="10">
                  <c:v>88</c:v>
                </c:pt>
                <c:pt idx="11">
                  <c:v>83</c:v>
                </c:pt>
                <c:pt idx="12">
                  <c:v>86</c:v>
                </c:pt>
                <c:pt idx="13">
                  <c:v>141</c:v>
                </c:pt>
                <c:pt idx="14">
                  <c:v>85</c:v>
                </c:pt>
                <c:pt idx="15">
                  <c:v>68</c:v>
                </c:pt>
                <c:pt idx="16">
                  <c:v>116</c:v>
                </c:pt>
                <c:pt idx="17">
                  <c:v>133</c:v>
                </c:pt>
                <c:pt idx="18">
                  <c:v>85</c:v>
                </c:pt>
                <c:pt idx="19">
                  <c:v>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0302672"/>
        <c:axId val="1983694224"/>
      </c:barChart>
      <c:catAx>
        <c:axId val="210030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3694224"/>
        <c:crosses val="autoZero"/>
        <c:auto val="1"/>
        <c:lblAlgn val="ctr"/>
        <c:lblOffset val="100"/>
        <c:noMultiLvlLbl val="0"/>
      </c:catAx>
      <c:valAx>
        <c:axId val="19836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030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49a0c9f-6fd0-4ff8-9deb-696dc89404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GW03-11/19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'掉线率-CU'!$A$39:$A$58</c:f>
              <c:strCache>
                <c:ptCount val="20"/>
                <c:pt idx="0">
                  <c:v>GW03-01</c:v>
                </c:pt>
                <c:pt idx="1">
                  <c:v>GW03-02</c:v>
                </c:pt>
                <c:pt idx="2">
                  <c:v>GW03-03</c:v>
                </c:pt>
                <c:pt idx="3">
                  <c:v>GW03-04</c:v>
                </c:pt>
                <c:pt idx="4">
                  <c:v>GW03-05</c:v>
                </c:pt>
                <c:pt idx="5">
                  <c:v>GW03-06</c:v>
                </c:pt>
                <c:pt idx="6">
                  <c:v>GW03-07</c:v>
                </c:pt>
                <c:pt idx="7">
                  <c:v>GW03-08</c:v>
                </c:pt>
                <c:pt idx="8">
                  <c:v>GW03-09</c:v>
                </c:pt>
                <c:pt idx="9">
                  <c:v>GW03-10</c:v>
                </c:pt>
                <c:pt idx="10">
                  <c:v>GW03-11</c:v>
                </c:pt>
                <c:pt idx="11">
                  <c:v>GW03-12</c:v>
                </c:pt>
                <c:pt idx="12">
                  <c:v>GW03-13</c:v>
                </c:pt>
                <c:pt idx="13">
                  <c:v>GW03-14</c:v>
                </c:pt>
                <c:pt idx="14">
                  <c:v>GW03-15</c:v>
                </c:pt>
                <c:pt idx="15">
                  <c:v>GW03-16</c:v>
                </c:pt>
                <c:pt idx="16">
                  <c:v>GW03-17</c:v>
                </c:pt>
                <c:pt idx="17">
                  <c:v>GW03-18</c:v>
                </c:pt>
                <c:pt idx="18">
                  <c:v>GW03-19</c:v>
                </c:pt>
                <c:pt idx="19">
                  <c:v>GW03-20</c:v>
                </c:pt>
              </c:strCache>
            </c:strRef>
          </c:cat>
          <c:val>
            <c:numRef>
              <c:f>'掉线率-CU'!$C$39:$C$58</c:f>
              <c:numCache>
                <c:formatCode>General</c:formatCode>
                <c:ptCount val="20"/>
                <c:pt idx="0">
                  <c:v>141</c:v>
                </c:pt>
                <c:pt idx="1">
                  <c:v>142</c:v>
                </c:pt>
                <c:pt idx="2">
                  <c:v>143</c:v>
                </c:pt>
                <c:pt idx="3">
                  <c:v>143</c:v>
                </c:pt>
                <c:pt idx="4">
                  <c:v>133</c:v>
                </c:pt>
                <c:pt idx="5">
                  <c:v>96</c:v>
                </c:pt>
                <c:pt idx="6">
                  <c:v>134</c:v>
                </c:pt>
                <c:pt idx="7">
                  <c:v>141</c:v>
                </c:pt>
                <c:pt idx="8">
                  <c:v>139</c:v>
                </c:pt>
                <c:pt idx="9">
                  <c:v>138</c:v>
                </c:pt>
                <c:pt idx="10">
                  <c:v>128</c:v>
                </c:pt>
                <c:pt idx="11">
                  <c:v>141</c:v>
                </c:pt>
                <c:pt idx="12">
                  <c:v>141</c:v>
                </c:pt>
                <c:pt idx="13">
                  <c:v>87</c:v>
                </c:pt>
                <c:pt idx="14">
                  <c:v>140</c:v>
                </c:pt>
                <c:pt idx="15">
                  <c:v>79</c:v>
                </c:pt>
                <c:pt idx="16">
                  <c:v>86</c:v>
                </c:pt>
                <c:pt idx="17">
                  <c:v>84</c:v>
                </c:pt>
                <c:pt idx="18">
                  <c:v>85</c:v>
                </c:pt>
                <c:pt idx="19">
                  <c:v>134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22560"/>
        <c:axId val="1708752720"/>
      </c:barChart>
      <c:catAx>
        <c:axId val="5812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08752720"/>
        <c:crosses val="autoZero"/>
        <c:auto val="1"/>
        <c:lblAlgn val="ctr"/>
        <c:lblOffset val="100"/>
        <c:noMultiLvlLbl val="0"/>
      </c:catAx>
      <c:valAx>
        <c:axId val="170875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12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e12dd3a-2ccd-44b8-b221-704c567544a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GW04-11/19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'掉线率-CU'!$A$59:$A$78</c:f>
              <c:strCache>
                <c:ptCount val="20"/>
                <c:pt idx="0">
                  <c:v>GW04-01</c:v>
                </c:pt>
                <c:pt idx="1">
                  <c:v>GW04-02</c:v>
                </c:pt>
                <c:pt idx="2">
                  <c:v>GW04-03</c:v>
                </c:pt>
                <c:pt idx="3">
                  <c:v>GW04-04</c:v>
                </c:pt>
                <c:pt idx="4">
                  <c:v>GW04-05</c:v>
                </c:pt>
                <c:pt idx="5">
                  <c:v>GW04-06</c:v>
                </c:pt>
                <c:pt idx="6">
                  <c:v>GW04-07</c:v>
                </c:pt>
                <c:pt idx="7">
                  <c:v>GW04-08</c:v>
                </c:pt>
                <c:pt idx="8">
                  <c:v>GW04-09</c:v>
                </c:pt>
                <c:pt idx="9">
                  <c:v>GW04-10</c:v>
                </c:pt>
                <c:pt idx="10">
                  <c:v>GW04-11</c:v>
                </c:pt>
                <c:pt idx="11">
                  <c:v>GW04-12</c:v>
                </c:pt>
                <c:pt idx="12">
                  <c:v>GW04-13</c:v>
                </c:pt>
                <c:pt idx="13">
                  <c:v>GW04-14</c:v>
                </c:pt>
                <c:pt idx="14">
                  <c:v>GW04-15</c:v>
                </c:pt>
                <c:pt idx="15">
                  <c:v>GW04-16</c:v>
                </c:pt>
                <c:pt idx="16">
                  <c:v>GW04-17</c:v>
                </c:pt>
                <c:pt idx="17">
                  <c:v>GW04-18</c:v>
                </c:pt>
                <c:pt idx="18">
                  <c:v>GW04-19</c:v>
                </c:pt>
                <c:pt idx="19">
                  <c:v>GW04-20</c:v>
                </c:pt>
              </c:strCache>
            </c:strRef>
          </c:cat>
          <c:val>
            <c:numRef>
              <c:f>'掉线率-CU'!$C$59:$C$78</c:f>
              <c:numCache>
                <c:formatCode>General</c:formatCode>
                <c:ptCount val="20"/>
                <c:pt idx="0">
                  <c:v>91</c:v>
                </c:pt>
                <c:pt idx="1">
                  <c:v>142</c:v>
                </c:pt>
                <c:pt idx="2">
                  <c:v>141</c:v>
                </c:pt>
                <c:pt idx="3">
                  <c:v>133</c:v>
                </c:pt>
                <c:pt idx="4">
                  <c:v>94</c:v>
                </c:pt>
                <c:pt idx="5">
                  <c:v>102</c:v>
                </c:pt>
                <c:pt idx="6">
                  <c:v>113</c:v>
                </c:pt>
                <c:pt idx="7">
                  <c:v>124</c:v>
                </c:pt>
                <c:pt idx="8">
                  <c:v>104</c:v>
                </c:pt>
                <c:pt idx="9">
                  <c:v>143</c:v>
                </c:pt>
                <c:pt idx="10">
                  <c:v>105</c:v>
                </c:pt>
                <c:pt idx="11">
                  <c:v>140</c:v>
                </c:pt>
                <c:pt idx="12">
                  <c:v>142</c:v>
                </c:pt>
                <c:pt idx="13">
                  <c:v>88</c:v>
                </c:pt>
                <c:pt idx="14">
                  <c:v>134</c:v>
                </c:pt>
                <c:pt idx="15">
                  <c:v>89</c:v>
                </c:pt>
                <c:pt idx="16">
                  <c:v>94</c:v>
                </c:pt>
                <c:pt idx="17">
                  <c:v>137</c:v>
                </c:pt>
                <c:pt idx="18">
                  <c:v>141</c:v>
                </c:pt>
                <c:pt idx="19">
                  <c:v>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213904"/>
        <c:axId val="2104259120"/>
      </c:barChart>
      <c:catAx>
        <c:axId val="198721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4259120"/>
        <c:crosses val="autoZero"/>
        <c:auto val="1"/>
        <c:lblAlgn val="ctr"/>
        <c:lblOffset val="100"/>
        <c:noMultiLvlLbl val="0"/>
      </c:catAx>
      <c:valAx>
        <c:axId val="210425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721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6f01154-05cb-4be6-a62f-b79f51324a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GW05-11/19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'掉线率-CU'!$A$79:$A$98</c:f>
              <c:strCache>
                <c:ptCount val="20"/>
                <c:pt idx="0">
                  <c:v>GW05-01</c:v>
                </c:pt>
                <c:pt idx="1">
                  <c:v>GW05-02</c:v>
                </c:pt>
                <c:pt idx="2">
                  <c:v>GW05-03</c:v>
                </c:pt>
                <c:pt idx="3">
                  <c:v>GW05-04</c:v>
                </c:pt>
                <c:pt idx="4">
                  <c:v>GW05-05</c:v>
                </c:pt>
                <c:pt idx="5">
                  <c:v>GW05-06</c:v>
                </c:pt>
                <c:pt idx="6">
                  <c:v>GW05-07</c:v>
                </c:pt>
                <c:pt idx="7">
                  <c:v>GW05-08</c:v>
                </c:pt>
                <c:pt idx="8">
                  <c:v>GW05-09</c:v>
                </c:pt>
                <c:pt idx="9">
                  <c:v>GW05-10</c:v>
                </c:pt>
                <c:pt idx="10">
                  <c:v>GW05-11</c:v>
                </c:pt>
                <c:pt idx="11">
                  <c:v>GW05-12</c:v>
                </c:pt>
                <c:pt idx="12">
                  <c:v>GW05-13</c:v>
                </c:pt>
                <c:pt idx="13">
                  <c:v>GW05-14</c:v>
                </c:pt>
                <c:pt idx="14">
                  <c:v>GW05-15</c:v>
                </c:pt>
                <c:pt idx="15">
                  <c:v>GW05-16</c:v>
                </c:pt>
                <c:pt idx="16">
                  <c:v>GW05-17</c:v>
                </c:pt>
                <c:pt idx="17">
                  <c:v>GW05-18</c:v>
                </c:pt>
                <c:pt idx="18">
                  <c:v>GW05-19</c:v>
                </c:pt>
                <c:pt idx="19">
                  <c:v>GW05-20</c:v>
                </c:pt>
              </c:strCache>
            </c:strRef>
          </c:cat>
          <c:val>
            <c:numRef>
              <c:f>'掉线率-CU'!$C$79:$C$98</c:f>
              <c:numCache>
                <c:formatCode>General</c:formatCode>
                <c:ptCount val="20"/>
                <c:pt idx="0">
                  <c:v>140</c:v>
                </c:pt>
                <c:pt idx="1">
                  <c:v>141</c:v>
                </c:pt>
                <c:pt idx="2">
                  <c:v>102</c:v>
                </c:pt>
                <c:pt idx="3">
                  <c:v>104</c:v>
                </c:pt>
                <c:pt idx="4">
                  <c:v>142</c:v>
                </c:pt>
                <c:pt idx="5">
                  <c:v>143</c:v>
                </c:pt>
                <c:pt idx="6">
                  <c:v>142</c:v>
                </c:pt>
                <c:pt idx="7">
                  <c:v>132</c:v>
                </c:pt>
                <c:pt idx="8">
                  <c:v>88</c:v>
                </c:pt>
                <c:pt idx="9">
                  <c:v>143</c:v>
                </c:pt>
                <c:pt idx="10">
                  <c:v>140</c:v>
                </c:pt>
                <c:pt idx="11">
                  <c:v>142</c:v>
                </c:pt>
                <c:pt idx="12">
                  <c:v>142</c:v>
                </c:pt>
                <c:pt idx="13">
                  <c:v>139</c:v>
                </c:pt>
                <c:pt idx="14">
                  <c:v>141</c:v>
                </c:pt>
                <c:pt idx="15">
                  <c:v>137</c:v>
                </c:pt>
                <c:pt idx="16">
                  <c:v>142</c:v>
                </c:pt>
                <c:pt idx="17">
                  <c:v>142</c:v>
                </c:pt>
                <c:pt idx="18">
                  <c:v>140</c:v>
                </c:pt>
                <c:pt idx="19">
                  <c:v>135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938816"/>
        <c:axId val="1938501344"/>
      </c:barChart>
      <c:catAx>
        <c:axId val="209893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8501344"/>
        <c:crosses val="autoZero"/>
        <c:auto val="1"/>
        <c:lblAlgn val="ctr"/>
        <c:lblOffset val="100"/>
        <c:noMultiLvlLbl val="0"/>
      </c:catAx>
      <c:valAx>
        <c:axId val="193850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893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b493438-7906-4e80-8f82-1cdc0122bb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GW06-11/19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'掉线率-CU'!$A$99:$A$118</c:f>
              <c:strCache>
                <c:ptCount val="20"/>
                <c:pt idx="0">
                  <c:v>GW06-01</c:v>
                </c:pt>
                <c:pt idx="1">
                  <c:v>GW06-02</c:v>
                </c:pt>
                <c:pt idx="2">
                  <c:v>GW06-03</c:v>
                </c:pt>
                <c:pt idx="3">
                  <c:v>GW06-04</c:v>
                </c:pt>
                <c:pt idx="4">
                  <c:v>GW06-05</c:v>
                </c:pt>
                <c:pt idx="5">
                  <c:v>GW06-06</c:v>
                </c:pt>
                <c:pt idx="6">
                  <c:v>GW06-07</c:v>
                </c:pt>
                <c:pt idx="7">
                  <c:v>GW06-08</c:v>
                </c:pt>
                <c:pt idx="8">
                  <c:v>GW06-09</c:v>
                </c:pt>
                <c:pt idx="9">
                  <c:v>GW06-10</c:v>
                </c:pt>
                <c:pt idx="10">
                  <c:v>GW06-11</c:v>
                </c:pt>
                <c:pt idx="11">
                  <c:v>GW06-12</c:v>
                </c:pt>
                <c:pt idx="12">
                  <c:v>GW06-13</c:v>
                </c:pt>
                <c:pt idx="13">
                  <c:v>GW06-14</c:v>
                </c:pt>
                <c:pt idx="14">
                  <c:v>GW06-15</c:v>
                </c:pt>
                <c:pt idx="15">
                  <c:v>GW06-16</c:v>
                </c:pt>
                <c:pt idx="16">
                  <c:v>GW06-17</c:v>
                </c:pt>
                <c:pt idx="17">
                  <c:v>GW06-18</c:v>
                </c:pt>
                <c:pt idx="18">
                  <c:v>GW06-19</c:v>
                </c:pt>
                <c:pt idx="19">
                  <c:v>GW06-20</c:v>
                </c:pt>
              </c:strCache>
            </c:strRef>
          </c:cat>
          <c:val>
            <c:numRef>
              <c:f>'掉线率-CU'!$C$99:$C$118</c:f>
              <c:numCache>
                <c:formatCode>General</c:formatCode>
                <c:ptCount val="20"/>
                <c:pt idx="0">
                  <c:v>135</c:v>
                </c:pt>
                <c:pt idx="1">
                  <c:v>143</c:v>
                </c:pt>
                <c:pt idx="2">
                  <c:v>78</c:v>
                </c:pt>
                <c:pt idx="3">
                  <c:v>85</c:v>
                </c:pt>
                <c:pt idx="4">
                  <c:v>85</c:v>
                </c:pt>
                <c:pt idx="5">
                  <c:v>141</c:v>
                </c:pt>
                <c:pt idx="6">
                  <c:v>143</c:v>
                </c:pt>
                <c:pt idx="7">
                  <c:v>88</c:v>
                </c:pt>
                <c:pt idx="8">
                  <c:v>143</c:v>
                </c:pt>
                <c:pt idx="9">
                  <c:v>143</c:v>
                </c:pt>
                <c:pt idx="10">
                  <c:v>141</c:v>
                </c:pt>
                <c:pt idx="11">
                  <c:v>142</c:v>
                </c:pt>
                <c:pt idx="12">
                  <c:v>141</c:v>
                </c:pt>
                <c:pt idx="13">
                  <c:v>142</c:v>
                </c:pt>
                <c:pt idx="14">
                  <c:v>142</c:v>
                </c:pt>
                <c:pt idx="15">
                  <c:v>103</c:v>
                </c:pt>
                <c:pt idx="16">
                  <c:v>142</c:v>
                </c:pt>
                <c:pt idx="17">
                  <c:v>139</c:v>
                </c:pt>
                <c:pt idx="18">
                  <c:v>142</c:v>
                </c:pt>
                <c:pt idx="19">
                  <c:v>142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803840"/>
        <c:axId val="1776734800"/>
      </c:barChart>
      <c:catAx>
        <c:axId val="2780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6734800"/>
        <c:crosses val="autoZero"/>
        <c:auto val="1"/>
        <c:lblAlgn val="ctr"/>
        <c:lblOffset val="100"/>
        <c:noMultiLvlLbl val="0"/>
      </c:catAx>
      <c:valAx>
        <c:axId val="17767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80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4492b46-f0cd-4bfc-9e82-6091f0af45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GW07-11/19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'掉线率-CU'!$A$119:$A$139</c:f>
              <c:strCache>
                <c:ptCount val="21"/>
                <c:pt idx="0">
                  <c:v>GW07-01</c:v>
                </c:pt>
                <c:pt idx="1">
                  <c:v>GW07-02</c:v>
                </c:pt>
                <c:pt idx="2">
                  <c:v>GW07-03</c:v>
                </c:pt>
                <c:pt idx="3">
                  <c:v>GW07-04</c:v>
                </c:pt>
                <c:pt idx="4">
                  <c:v>GW07-05</c:v>
                </c:pt>
                <c:pt idx="5">
                  <c:v>GW07-06</c:v>
                </c:pt>
                <c:pt idx="6">
                  <c:v>GW07-07</c:v>
                </c:pt>
                <c:pt idx="7">
                  <c:v>GW07-08</c:v>
                </c:pt>
                <c:pt idx="8">
                  <c:v>GW07-09</c:v>
                </c:pt>
                <c:pt idx="9">
                  <c:v>GW07-10</c:v>
                </c:pt>
                <c:pt idx="10">
                  <c:v>GW07-11</c:v>
                </c:pt>
                <c:pt idx="11">
                  <c:v>GW07-12</c:v>
                </c:pt>
                <c:pt idx="12">
                  <c:v>GW07-13</c:v>
                </c:pt>
                <c:pt idx="13">
                  <c:v>GW07-14</c:v>
                </c:pt>
                <c:pt idx="14">
                  <c:v>GW07-15</c:v>
                </c:pt>
                <c:pt idx="15">
                  <c:v>GW07-16</c:v>
                </c:pt>
                <c:pt idx="16">
                  <c:v>GW07-17</c:v>
                </c:pt>
                <c:pt idx="17">
                  <c:v>GW07-18</c:v>
                </c:pt>
                <c:pt idx="18">
                  <c:v>GW07-19</c:v>
                </c:pt>
                <c:pt idx="19">
                  <c:v>GW07-20</c:v>
                </c:pt>
                <c:pt idx="20">
                  <c:v>GW07-21</c:v>
                </c:pt>
              </c:strCache>
            </c:strRef>
          </c:cat>
          <c:val>
            <c:numRef>
              <c:f>'掉线率-CU'!$C$119:$C$139</c:f>
              <c:numCache>
                <c:formatCode>General</c:formatCode>
                <c:ptCount val="21"/>
                <c:pt idx="0">
                  <c:v>58</c:v>
                </c:pt>
                <c:pt idx="1">
                  <c:v>69</c:v>
                </c:pt>
                <c:pt idx="2">
                  <c:v>67</c:v>
                </c:pt>
                <c:pt idx="3">
                  <c:v>64</c:v>
                </c:pt>
                <c:pt idx="4">
                  <c:v>114</c:v>
                </c:pt>
                <c:pt idx="5">
                  <c:v>69</c:v>
                </c:pt>
                <c:pt idx="6">
                  <c:v>68</c:v>
                </c:pt>
                <c:pt idx="7">
                  <c:v>68</c:v>
                </c:pt>
                <c:pt idx="8">
                  <c:v>114</c:v>
                </c:pt>
                <c:pt idx="9">
                  <c:v>114</c:v>
                </c:pt>
                <c:pt idx="10">
                  <c:v>113</c:v>
                </c:pt>
                <c:pt idx="11">
                  <c:v>70</c:v>
                </c:pt>
                <c:pt idx="12">
                  <c:v>114</c:v>
                </c:pt>
                <c:pt idx="13">
                  <c:v>113</c:v>
                </c:pt>
                <c:pt idx="14">
                  <c:v>114</c:v>
                </c:pt>
                <c:pt idx="15">
                  <c:v>113</c:v>
                </c:pt>
                <c:pt idx="16">
                  <c:v>110</c:v>
                </c:pt>
                <c:pt idx="17">
                  <c:v>114</c:v>
                </c:pt>
                <c:pt idx="18">
                  <c:v>114</c:v>
                </c:pt>
                <c:pt idx="19">
                  <c:v>113</c:v>
                </c:pt>
                <c:pt idx="20">
                  <c:v>114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060224"/>
        <c:axId val="47673936"/>
      </c:barChart>
      <c:catAx>
        <c:axId val="197706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673936"/>
        <c:crosses val="autoZero"/>
        <c:auto val="1"/>
        <c:lblAlgn val="ctr"/>
        <c:lblOffset val="100"/>
        <c:noMultiLvlLbl val="0"/>
      </c:catAx>
      <c:valAx>
        <c:axId val="4767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706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80fe911-8835-4d9d-8240-cafa7208eb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GW08-11/19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'掉线率-CU'!$A$140:$A$161</c:f>
              <c:strCache>
                <c:ptCount val="22"/>
                <c:pt idx="0">
                  <c:v>GW08-01</c:v>
                </c:pt>
                <c:pt idx="1">
                  <c:v>GW08-02</c:v>
                </c:pt>
                <c:pt idx="2">
                  <c:v>GW08-03</c:v>
                </c:pt>
                <c:pt idx="3">
                  <c:v>GW08-04</c:v>
                </c:pt>
                <c:pt idx="4">
                  <c:v>GW08-05</c:v>
                </c:pt>
                <c:pt idx="5">
                  <c:v>GW08-06</c:v>
                </c:pt>
                <c:pt idx="6">
                  <c:v>GW08-07</c:v>
                </c:pt>
                <c:pt idx="7">
                  <c:v>GW08-08</c:v>
                </c:pt>
                <c:pt idx="8">
                  <c:v>GW08-09</c:v>
                </c:pt>
                <c:pt idx="9">
                  <c:v>GW08-10</c:v>
                </c:pt>
                <c:pt idx="10">
                  <c:v>GW08-11</c:v>
                </c:pt>
                <c:pt idx="11">
                  <c:v>GW08-12</c:v>
                </c:pt>
                <c:pt idx="12">
                  <c:v>GW08-13</c:v>
                </c:pt>
                <c:pt idx="13">
                  <c:v>GW08-14</c:v>
                </c:pt>
                <c:pt idx="14">
                  <c:v>GW08-15</c:v>
                </c:pt>
                <c:pt idx="15">
                  <c:v>GW08-16</c:v>
                </c:pt>
                <c:pt idx="16">
                  <c:v>GW08-17</c:v>
                </c:pt>
                <c:pt idx="17">
                  <c:v>GW08-18</c:v>
                </c:pt>
                <c:pt idx="18">
                  <c:v>GW08-19</c:v>
                </c:pt>
                <c:pt idx="19">
                  <c:v>GW08-20</c:v>
                </c:pt>
                <c:pt idx="20">
                  <c:v>GW08-21</c:v>
                </c:pt>
                <c:pt idx="21">
                  <c:v>GW08-22</c:v>
                </c:pt>
              </c:strCache>
            </c:strRef>
          </c:cat>
          <c:val>
            <c:numRef>
              <c:f>'掉线率-CU'!$C$140:$C$161</c:f>
              <c:numCache>
                <c:formatCode>General</c:formatCode>
                <c:ptCount val="22"/>
                <c:pt idx="0">
                  <c:v>130</c:v>
                </c:pt>
                <c:pt idx="1">
                  <c:v>130</c:v>
                </c:pt>
                <c:pt idx="2">
                  <c:v>129</c:v>
                </c:pt>
                <c:pt idx="3">
                  <c:v>130</c:v>
                </c:pt>
                <c:pt idx="4">
                  <c:v>120</c:v>
                </c:pt>
                <c:pt idx="5">
                  <c:v>130</c:v>
                </c:pt>
                <c:pt idx="6">
                  <c:v>129</c:v>
                </c:pt>
                <c:pt idx="7">
                  <c:v>122</c:v>
                </c:pt>
                <c:pt idx="8">
                  <c:v>129</c:v>
                </c:pt>
                <c:pt idx="9">
                  <c:v>130</c:v>
                </c:pt>
                <c:pt idx="10">
                  <c:v>112</c:v>
                </c:pt>
                <c:pt idx="11">
                  <c:v>130</c:v>
                </c:pt>
                <c:pt idx="12">
                  <c:v>128</c:v>
                </c:pt>
                <c:pt idx="13">
                  <c:v>80</c:v>
                </c:pt>
                <c:pt idx="14">
                  <c:v>130</c:v>
                </c:pt>
                <c:pt idx="15">
                  <c:v>129</c:v>
                </c:pt>
                <c:pt idx="16">
                  <c:v>129</c:v>
                </c:pt>
                <c:pt idx="17">
                  <c:v>128</c:v>
                </c:pt>
                <c:pt idx="18">
                  <c:v>129</c:v>
                </c:pt>
                <c:pt idx="19">
                  <c:v>128</c:v>
                </c:pt>
                <c:pt idx="20">
                  <c:v>123</c:v>
                </c:pt>
                <c:pt idx="21">
                  <c:v>126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7243456"/>
        <c:axId val="1981776384"/>
      </c:barChart>
      <c:catAx>
        <c:axId val="210724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1776384"/>
        <c:crosses val="autoZero"/>
        <c:auto val="1"/>
        <c:lblAlgn val="ctr"/>
        <c:lblOffset val="100"/>
        <c:noMultiLvlLbl val="0"/>
      </c:catAx>
      <c:valAx>
        <c:axId val="198177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724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22bf234-5aff-4644-b9f5-010e32bfe7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7" Type="http://schemas.openxmlformats.org/officeDocument/2006/relationships/chart" Target="../charts/chart11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123825</xdr:colOff>
      <xdr:row>42</xdr:row>
      <xdr:rowOff>33337</xdr:rowOff>
    </xdr:from>
    <xdr:to>
      <xdr:col>4</xdr:col>
      <xdr:colOff>352425</xdr:colOff>
      <xdr:row>57</xdr:row>
      <xdr:rowOff>52387</xdr:rowOff>
    </xdr:to>
    <xdr:graphicFrame>
      <xdr:nvGraphicFramePr>
        <xdr:cNvPr id="2" name="图表 1"/>
        <xdr:cNvGraphicFramePr/>
      </xdr:nvGraphicFramePr>
      <xdr:xfrm>
        <a:off x="123825" y="7614920"/>
        <a:ext cx="4488180" cy="2655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485775</xdr:colOff>
      <xdr:row>42</xdr:row>
      <xdr:rowOff>61912</xdr:rowOff>
    </xdr:from>
    <xdr:to>
      <xdr:col>11</xdr:col>
      <xdr:colOff>733425</xdr:colOff>
      <xdr:row>57</xdr:row>
      <xdr:rowOff>80962</xdr:rowOff>
    </xdr:to>
    <xdr:graphicFrame>
      <xdr:nvGraphicFramePr>
        <xdr:cNvPr id="3" name="图表 2"/>
        <xdr:cNvGraphicFramePr/>
      </xdr:nvGraphicFramePr>
      <xdr:xfrm>
        <a:off x="4745355" y="7643495"/>
        <a:ext cx="6076950" cy="2655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500061</xdr:colOff>
      <xdr:row>58</xdr:row>
      <xdr:rowOff>28575</xdr:rowOff>
    </xdr:from>
    <xdr:to>
      <xdr:col>11</xdr:col>
      <xdr:colOff>733424</xdr:colOff>
      <xdr:row>73</xdr:row>
      <xdr:rowOff>57150</xdr:rowOff>
    </xdr:to>
    <xdr:graphicFrame>
      <xdr:nvGraphicFramePr>
        <xdr:cNvPr id="4" name="图表 3"/>
        <xdr:cNvGraphicFramePr/>
      </xdr:nvGraphicFramePr>
      <xdr:xfrm>
        <a:off x="4759325" y="10422255"/>
        <a:ext cx="6062345" cy="2657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85725</xdr:colOff>
      <xdr:row>58</xdr:row>
      <xdr:rowOff>28575</xdr:rowOff>
    </xdr:from>
    <xdr:to>
      <xdr:col>4</xdr:col>
      <xdr:colOff>314325</xdr:colOff>
      <xdr:row>73</xdr:row>
      <xdr:rowOff>57150</xdr:rowOff>
    </xdr:to>
    <xdr:graphicFrame>
      <xdr:nvGraphicFramePr>
        <xdr:cNvPr id="5" name="图表 4"/>
        <xdr:cNvGraphicFramePr/>
      </xdr:nvGraphicFramePr>
      <xdr:xfrm>
        <a:off x="85725" y="10422255"/>
        <a:ext cx="4488180" cy="2657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566737</xdr:colOff>
      <xdr:row>1</xdr:row>
      <xdr:rowOff>123825</xdr:rowOff>
    </xdr:from>
    <xdr:to>
      <xdr:col>18</xdr:col>
      <xdr:colOff>338137</xdr:colOff>
      <xdr:row>16</xdr:row>
      <xdr:rowOff>152400</xdr:rowOff>
    </xdr:to>
    <xdr:graphicFrame>
      <xdr:nvGraphicFramePr>
        <xdr:cNvPr id="2" name="图表 1"/>
        <xdr:cNvGraphicFramePr/>
      </xdr:nvGraphicFramePr>
      <xdr:xfrm>
        <a:off x="8239760" y="299085"/>
        <a:ext cx="4091940" cy="3000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542924</xdr:colOff>
      <xdr:row>17</xdr:row>
      <xdr:rowOff>152400</xdr:rowOff>
    </xdr:from>
    <xdr:to>
      <xdr:col>18</xdr:col>
      <xdr:colOff>380999</xdr:colOff>
      <xdr:row>32</xdr:row>
      <xdr:rowOff>190500</xdr:rowOff>
    </xdr:to>
    <xdr:graphicFrame>
      <xdr:nvGraphicFramePr>
        <xdr:cNvPr id="3" name="图表 2"/>
        <xdr:cNvGraphicFramePr/>
      </xdr:nvGraphicFramePr>
      <xdr:xfrm>
        <a:off x="8215630" y="3497580"/>
        <a:ext cx="4158615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619125</xdr:colOff>
      <xdr:row>34</xdr:row>
      <xdr:rowOff>180974</xdr:rowOff>
    </xdr:from>
    <xdr:to>
      <xdr:col>18</xdr:col>
      <xdr:colOff>409575</xdr:colOff>
      <xdr:row>50</xdr:row>
      <xdr:rowOff>171449</xdr:rowOff>
    </xdr:to>
    <xdr:graphicFrame>
      <xdr:nvGraphicFramePr>
        <xdr:cNvPr id="4" name="图表 3"/>
        <xdr:cNvGraphicFramePr/>
      </xdr:nvGraphicFramePr>
      <xdr:xfrm>
        <a:off x="8290560" y="6893560"/>
        <a:ext cx="4112895" cy="3160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219075</xdr:colOff>
      <xdr:row>57</xdr:row>
      <xdr:rowOff>85724</xdr:rowOff>
    </xdr:from>
    <xdr:to>
      <xdr:col>18</xdr:col>
      <xdr:colOff>285750</xdr:colOff>
      <xdr:row>72</xdr:row>
      <xdr:rowOff>171449</xdr:rowOff>
    </xdr:to>
    <xdr:graphicFrame>
      <xdr:nvGraphicFramePr>
        <xdr:cNvPr id="5" name="图表 4"/>
        <xdr:cNvGraphicFramePr/>
      </xdr:nvGraphicFramePr>
      <xdr:xfrm>
        <a:off x="8509635" y="11355070"/>
        <a:ext cx="3769995" cy="3057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228599</xdr:colOff>
      <xdr:row>76</xdr:row>
      <xdr:rowOff>123825</xdr:rowOff>
    </xdr:from>
    <xdr:to>
      <xdr:col>20</xdr:col>
      <xdr:colOff>257174</xdr:colOff>
      <xdr:row>95</xdr:row>
      <xdr:rowOff>114300</xdr:rowOff>
    </xdr:to>
    <xdr:graphicFrame>
      <xdr:nvGraphicFramePr>
        <xdr:cNvPr id="6" name="图表 5"/>
        <xdr:cNvGraphicFramePr/>
      </xdr:nvGraphicFramePr>
      <xdr:xfrm>
        <a:off x="9752965" y="15158085"/>
        <a:ext cx="3731895" cy="3754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581025</xdr:colOff>
      <xdr:row>98</xdr:row>
      <xdr:rowOff>161924</xdr:rowOff>
    </xdr:from>
    <xdr:to>
      <xdr:col>21</xdr:col>
      <xdr:colOff>142874</xdr:colOff>
      <xdr:row>115</xdr:row>
      <xdr:rowOff>28574</xdr:rowOff>
    </xdr:to>
    <xdr:graphicFrame>
      <xdr:nvGraphicFramePr>
        <xdr:cNvPr id="7" name="图表 6"/>
        <xdr:cNvGraphicFramePr/>
      </xdr:nvGraphicFramePr>
      <xdr:xfrm>
        <a:off x="9488805" y="19554190"/>
        <a:ext cx="4498975" cy="3234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628650</xdr:colOff>
      <xdr:row>117</xdr:row>
      <xdr:rowOff>66674</xdr:rowOff>
    </xdr:from>
    <xdr:to>
      <xdr:col>21</xdr:col>
      <xdr:colOff>133350</xdr:colOff>
      <xdr:row>134</xdr:row>
      <xdr:rowOff>190499</xdr:rowOff>
    </xdr:to>
    <xdr:graphicFrame>
      <xdr:nvGraphicFramePr>
        <xdr:cNvPr id="8" name="图表 7"/>
        <xdr:cNvGraphicFramePr/>
      </xdr:nvGraphicFramePr>
      <xdr:xfrm>
        <a:off x="9525000" y="23223220"/>
        <a:ext cx="4453890" cy="3491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19050</xdr:colOff>
      <xdr:row>138</xdr:row>
      <xdr:rowOff>171450</xdr:rowOff>
    </xdr:from>
    <xdr:to>
      <xdr:col>21</xdr:col>
      <xdr:colOff>209550</xdr:colOff>
      <xdr:row>156</xdr:row>
      <xdr:rowOff>114300</xdr:rowOff>
    </xdr:to>
    <xdr:graphicFrame>
      <xdr:nvGraphicFramePr>
        <xdr:cNvPr id="9" name="图表 8"/>
        <xdr:cNvGraphicFramePr/>
      </xdr:nvGraphicFramePr>
      <xdr:xfrm>
        <a:off x="9544050" y="27489150"/>
        <a:ext cx="4511040" cy="3509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11</xdr:col>
      <xdr:colOff>227608</xdr:colOff>
      <xdr:row>23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94310"/>
          <a:ext cx="7161530" cy="38366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66675</xdr:rowOff>
    </xdr:from>
    <xdr:to>
      <xdr:col>17</xdr:col>
      <xdr:colOff>131856</xdr:colOff>
      <xdr:row>54</xdr:row>
      <xdr:rowOff>65996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4272915"/>
          <a:ext cx="10768965" cy="5256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142875</xdr:rowOff>
    </xdr:from>
    <xdr:to>
      <xdr:col>12</xdr:col>
      <xdr:colOff>160856</xdr:colOff>
      <xdr:row>73</xdr:row>
      <xdr:rowOff>85393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0307955"/>
          <a:ext cx="7712075" cy="2571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4"/>
  <sheetViews>
    <sheetView tabSelected="1" topLeftCell="A18" workbookViewId="0">
      <selection activeCell="G39" sqref="G39"/>
    </sheetView>
  </sheetViews>
  <sheetFormatPr defaultColWidth="9" defaultRowHeight="13.8"/>
  <cols>
    <col min="1" max="1" width="15.1111111111111" customWidth="1"/>
    <col min="2" max="2" width="12.6666666666667" customWidth="1"/>
    <col min="4" max="4" width="25.3333333333333" customWidth="1"/>
    <col min="5" max="5" width="13.5555555555556" customWidth="1"/>
    <col min="7" max="7" width="17.2222222222222" customWidth="1"/>
    <col min="8" max="8" width="13" customWidth="1"/>
    <col min="9" max="9" width="13.2222222222222" customWidth="1"/>
    <col min="10" max="10" width="11.1111111111111" customWidth="1"/>
    <col min="11" max="11" width="7.88888888888889" customWidth="1"/>
    <col min="12" max="12" width="11" customWidth="1"/>
    <col min="13" max="13" width="7.88888888888889" customWidth="1"/>
    <col min="14" max="14" width="11" customWidth="1"/>
  </cols>
  <sheetData>
    <row r="1" ht="31.2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4" t="s">
        <v>8</v>
      </c>
      <c r="J1" s="45">
        <v>45757</v>
      </c>
      <c r="K1" s="8" t="s">
        <v>9</v>
      </c>
      <c r="L1" s="45">
        <v>45758</v>
      </c>
      <c r="M1" s="8" t="s">
        <v>9</v>
      </c>
      <c r="N1" s="45">
        <v>45759</v>
      </c>
      <c r="O1" s="8" t="s">
        <v>9</v>
      </c>
    </row>
    <row r="2" spans="1:15">
      <c r="A2" s="9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>
        <v>28</v>
      </c>
      <c r="G2" s="10">
        <f>F2*0.5</f>
        <v>14</v>
      </c>
      <c r="H2" s="10">
        <f>24*60/G2</f>
        <v>102.857142857143</v>
      </c>
      <c r="I2" s="9">
        <f>H2*F2</f>
        <v>2880</v>
      </c>
      <c r="J2" s="46">
        <v>2433</v>
      </c>
      <c r="K2" s="46">
        <v>15.52</v>
      </c>
      <c r="L2" s="9"/>
      <c r="M2" s="47">
        <f>1-L2/I2</f>
        <v>1</v>
      </c>
      <c r="N2" s="9"/>
      <c r="O2" s="47">
        <f>1-N2/I2</f>
        <v>1</v>
      </c>
    </row>
    <row r="3" spans="1:15">
      <c r="A3" s="11" t="s">
        <v>15</v>
      </c>
      <c r="B3" s="11" t="s">
        <v>11</v>
      </c>
      <c r="C3" s="11" t="s">
        <v>12</v>
      </c>
      <c r="D3" s="11" t="s">
        <v>16</v>
      </c>
      <c r="E3" s="11" t="s">
        <v>17</v>
      </c>
      <c r="F3" s="11">
        <v>22</v>
      </c>
      <c r="G3" s="10">
        <f>F3*0.5</f>
        <v>11</v>
      </c>
      <c r="H3" s="10">
        <f>24*60/G3</f>
        <v>130.909090909091</v>
      </c>
      <c r="I3" s="9">
        <f>H3*F3</f>
        <v>2880</v>
      </c>
      <c r="J3" s="46">
        <v>2213</v>
      </c>
      <c r="K3" s="46">
        <v>23.16</v>
      </c>
      <c r="L3" s="9"/>
      <c r="M3" s="47">
        <f>1-L3/I3</f>
        <v>1</v>
      </c>
      <c r="N3" s="9"/>
      <c r="O3" s="47">
        <f>1-N3/I3</f>
        <v>1</v>
      </c>
    </row>
    <row r="4" spans="1:15">
      <c r="A4" s="12" t="s">
        <v>18</v>
      </c>
      <c r="B4" s="12" t="s">
        <v>11</v>
      </c>
      <c r="C4" s="12" t="s">
        <v>12</v>
      </c>
      <c r="D4" s="12" t="s">
        <v>19</v>
      </c>
      <c r="E4" s="12" t="s">
        <v>20</v>
      </c>
      <c r="F4" s="12">
        <v>28</v>
      </c>
      <c r="G4" s="10">
        <f>F4*0.5</f>
        <v>14</v>
      </c>
      <c r="H4" s="10">
        <f>24*60/G4</f>
        <v>102.857142857143</v>
      </c>
      <c r="I4" s="9">
        <f>H4*F4</f>
        <v>2880</v>
      </c>
      <c r="J4" s="46">
        <v>2019</v>
      </c>
      <c r="K4" s="46">
        <v>29.9</v>
      </c>
      <c r="L4" s="9"/>
      <c r="M4" s="47">
        <f>1-L4/I4</f>
        <v>1</v>
      </c>
      <c r="N4" s="9"/>
      <c r="O4" s="47">
        <f>1-N4/I4</f>
        <v>1</v>
      </c>
    </row>
    <row r="5" spans="1:15">
      <c r="A5" s="11" t="s">
        <v>21</v>
      </c>
      <c r="B5" s="11" t="s">
        <v>11</v>
      </c>
      <c r="C5" s="11" t="s">
        <v>12</v>
      </c>
      <c r="D5" s="11" t="s">
        <v>22</v>
      </c>
      <c r="E5" s="11" t="s">
        <v>23</v>
      </c>
      <c r="F5" s="11">
        <v>29</v>
      </c>
      <c r="G5" s="10">
        <f>F5*0.5</f>
        <v>14.5</v>
      </c>
      <c r="H5" s="10">
        <f>24*60/G5</f>
        <v>99.3103448275862</v>
      </c>
      <c r="I5" s="9">
        <f>H5*F5</f>
        <v>2880</v>
      </c>
      <c r="J5" s="46">
        <v>2101</v>
      </c>
      <c r="K5" s="46">
        <v>27.05</v>
      </c>
      <c r="L5" s="9"/>
      <c r="M5" s="47">
        <f>1-L5/I5</f>
        <v>1</v>
      </c>
      <c r="N5" s="9"/>
      <c r="O5" s="47">
        <f>1-N5/I5</f>
        <v>1</v>
      </c>
    </row>
    <row r="6" spans="1:15">
      <c r="A6" s="12" t="s">
        <v>24</v>
      </c>
      <c r="B6" s="12" t="s">
        <v>11</v>
      </c>
      <c r="C6" s="12" t="s">
        <v>12</v>
      </c>
      <c r="D6" s="12" t="s">
        <v>25</v>
      </c>
      <c r="E6" s="12" t="s">
        <v>26</v>
      </c>
      <c r="F6" s="12">
        <v>43</v>
      </c>
      <c r="G6" s="10">
        <f>F6*0.5</f>
        <v>21.5</v>
      </c>
      <c r="H6" s="10">
        <f>24*60/G6</f>
        <v>66.9767441860465</v>
      </c>
      <c r="I6" s="9">
        <f>H6*F6</f>
        <v>2880</v>
      </c>
      <c r="J6" s="46">
        <v>2147</v>
      </c>
      <c r="K6" s="46">
        <v>25.45</v>
      </c>
      <c r="L6" s="9"/>
      <c r="M6" s="47">
        <f>1-L6/I6</f>
        <v>1</v>
      </c>
      <c r="N6" s="9"/>
      <c r="O6" s="47">
        <f>1-N6/I6</f>
        <v>1</v>
      </c>
    </row>
    <row r="7" spans="1:15">
      <c r="A7" s="11" t="s">
        <v>27</v>
      </c>
      <c r="B7" s="11" t="s">
        <v>11</v>
      </c>
      <c r="C7" s="11" t="s">
        <v>12</v>
      </c>
      <c r="D7" s="11" t="s">
        <v>28</v>
      </c>
      <c r="E7" s="11" t="s">
        <v>29</v>
      </c>
      <c r="F7" s="11">
        <v>43</v>
      </c>
      <c r="G7" s="10">
        <f>F7*0.5</f>
        <v>21.5</v>
      </c>
      <c r="H7" s="10">
        <f>24*60/G7</f>
        <v>66.9767441860465</v>
      </c>
      <c r="I7" s="9">
        <f>H7*F7</f>
        <v>2880</v>
      </c>
      <c r="J7" s="46">
        <v>1973</v>
      </c>
      <c r="K7" s="46">
        <v>31.49</v>
      </c>
      <c r="L7" s="9"/>
      <c r="M7" s="47">
        <f>1-L7/I7</f>
        <v>1</v>
      </c>
      <c r="N7" s="9"/>
      <c r="O7" s="47">
        <f>1-N7/I7</f>
        <v>1</v>
      </c>
    </row>
    <row r="8" spans="1:15">
      <c r="A8" s="9" t="s">
        <v>30</v>
      </c>
      <c r="B8" s="9" t="s">
        <v>11</v>
      </c>
      <c r="C8" s="9" t="s">
        <v>12</v>
      </c>
      <c r="D8" s="9" t="s">
        <v>31</v>
      </c>
      <c r="E8" s="9" t="s">
        <v>32</v>
      </c>
      <c r="F8" s="9">
        <v>41</v>
      </c>
      <c r="G8" s="10">
        <f t="shared" ref="G8:G37" si="0">F8*0.5</f>
        <v>20.5</v>
      </c>
      <c r="H8" s="10">
        <f t="shared" ref="H8:H37" si="1">24*60/G8</f>
        <v>70.2439024390244</v>
      </c>
      <c r="I8" s="9">
        <f t="shared" ref="I8:I37" si="2">H8*F8</f>
        <v>2880</v>
      </c>
      <c r="J8" s="46">
        <v>2214</v>
      </c>
      <c r="K8" s="46">
        <v>23.13</v>
      </c>
      <c r="L8" s="9"/>
      <c r="M8" s="47">
        <f t="shared" ref="M8:M37" si="3">1-L8/I8</f>
        <v>1</v>
      </c>
      <c r="N8" s="9"/>
      <c r="O8" s="47">
        <f t="shared" ref="O8:O37" si="4">1-N8/I8</f>
        <v>1</v>
      </c>
    </row>
    <row r="9" spans="1:15">
      <c r="A9" s="11" t="s">
        <v>33</v>
      </c>
      <c r="B9" s="11" t="s">
        <v>11</v>
      </c>
      <c r="C9" s="11" t="s">
        <v>12</v>
      </c>
      <c r="D9" s="11" t="s">
        <v>34</v>
      </c>
      <c r="E9" s="11" t="s">
        <v>35</v>
      </c>
      <c r="F9" s="11">
        <v>43</v>
      </c>
      <c r="G9" s="10">
        <f t="shared" si="0"/>
        <v>21.5</v>
      </c>
      <c r="H9" s="10">
        <f t="shared" si="1"/>
        <v>66.9767441860465</v>
      </c>
      <c r="I9" s="9">
        <f t="shared" si="2"/>
        <v>2880</v>
      </c>
      <c r="J9" s="46">
        <v>2301</v>
      </c>
      <c r="K9" s="46">
        <v>20.1</v>
      </c>
      <c r="L9" s="9"/>
      <c r="M9" s="47">
        <f t="shared" si="3"/>
        <v>1</v>
      </c>
      <c r="N9" s="9"/>
      <c r="O9" s="47">
        <f t="shared" si="4"/>
        <v>1</v>
      </c>
    </row>
    <row r="10" spans="1:15">
      <c r="A10" s="9" t="s">
        <v>36</v>
      </c>
      <c r="B10" s="9" t="s">
        <v>11</v>
      </c>
      <c r="C10" s="9" t="s">
        <v>12</v>
      </c>
      <c r="D10" s="9" t="s">
        <v>37</v>
      </c>
      <c r="E10" s="9" t="s">
        <v>38</v>
      </c>
      <c r="F10" s="9">
        <v>34</v>
      </c>
      <c r="G10" s="10">
        <f t="shared" si="0"/>
        <v>17</v>
      </c>
      <c r="H10" s="10">
        <f t="shared" si="1"/>
        <v>84.7058823529412</v>
      </c>
      <c r="I10" s="9">
        <f t="shared" si="2"/>
        <v>2880</v>
      </c>
      <c r="J10" s="46">
        <v>2015</v>
      </c>
      <c r="K10" s="46">
        <v>30.03</v>
      </c>
      <c r="L10" s="9"/>
      <c r="M10" s="47">
        <f t="shared" si="3"/>
        <v>1</v>
      </c>
      <c r="N10" s="9"/>
      <c r="O10" s="47">
        <f t="shared" si="4"/>
        <v>1</v>
      </c>
    </row>
    <row r="11" spans="1:15">
      <c r="A11" s="11" t="s">
        <v>39</v>
      </c>
      <c r="B11" s="11" t="s">
        <v>11</v>
      </c>
      <c r="C11" s="11" t="s">
        <v>12</v>
      </c>
      <c r="D11" s="11" t="s">
        <v>40</v>
      </c>
      <c r="E11" s="11" t="s">
        <v>41</v>
      </c>
      <c r="F11" s="11">
        <v>28</v>
      </c>
      <c r="G11" s="10">
        <f t="shared" si="0"/>
        <v>14</v>
      </c>
      <c r="H11" s="10">
        <f t="shared" si="1"/>
        <v>102.857142857143</v>
      </c>
      <c r="I11" s="9">
        <f t="shared" si="2"/>
        <v>2880</v>
      </c>
      <c r="J11" s="46">
        <v>1683</v>
      </c>
      <c r="K11" s="46">
        <v>41.56</v>
      </c>
      <c r="L11" s="9"/>
      <c r="M11" s="47">
        <f t="shared" si="3"/>
        <v>1</v>
      </c>
      <c r="N11" s="9"/>
      <c r="O11" s="47">
        <f t="shared" si="4"/>
        <v>1</v>
      </c>
    </row>
    <row r="12" spans="1:15">
      <c r="A12" s="9" t="s">
        <v>42</v>
      </c>
      <c r="B12" s="9" t="s">
        <v>11</v>
      </c>
      <c r="C12" s="9" t="s">
        <v>12</v>
      </c>
      <c r="D12" s="9" t="s">
        <v>43</v>
      </c>
      <c r="E12" s="9" t="s">
        <v>44</v>
      </c>
      <c r="F12" s="9">
        <v>40</v>
      </c>
      <c r="G12" s="10">
        <f t="shared" si="0"/>
        <v>20</v>
      </c>
      <c r="H12" s="10">
        <f t="shared" si="1"/>
        <v>72</v>
      </c>
      <c r="I12" s="9">
        <f t="shared" si="2"/>
        <v>2880</v>
      </c>
      <c r="J12" s="46">
        <v>1579</v>
      </c>
      <c r="K12" s="46">
        <v>45.17</v>
      </c>
      <c r="L12" s="9"/>
      <c r="M12" s="47">
        <f t="shared" si="3"/>
        <v>1</v>
      </c>
      <c r="N12" s="9"/>
      <c r="O12" s="47">
        <f t="shared" si="4"/>
        <v>1</v>
      </c>
    </row>
    <row r="13" spans="1:15">
      <c r="A13" s="11" t="s">
        <v>45</v>
      </c>
      <c r="B13" s="11" t="s">
        <v>11</v>
      </c>
      <c r="C13" s="11" t="s">
        <v>12</v>
      </c>
      <c r="D13" s="11" t="s">
        <v>46</v>
      </c>
      <c r="E13" s="11" t="s">
        <v>47</v>
      </c>
      <c r="F13" s="11">
        <v>38</v>
      </c>
      <c r="G13" s="10">
        <f t="shared" si="0"/>
        <v>19</v>
      </c>
      <c r="H13" s="10">
        <f t="shared" si="1"/>
        <v>75.7894736842105</v>
      </c>
      <c r="I13" s="9">
        <f t="shared" si="2"/>
        <v>2880</v>
      </c>
      <c r="J13" s="46">
        <v>2247</v>
      </c>
      <c r="K13" s="46">
        <v>21.98</v>
      </c>
      <c r="L13" s="9"/>
      <c r="M13" s="47">
        <f t="shared" si="3"/>
        <v>1</v>
      </c>
      <c r="N13" s="9"/>
      <c r="O13" s="47">
        <f t="shared" si="4"/>
        <v>1</v>
      </c>
    </row>
    <row r="14" spans="1:15">
      <c r="A14" s="9" t="s">
        <v>48</v>
      </c>
      <c r="B14" s="9" t="s">
        <v>11</v>
      </c>
      <c r="C14" s="9" t="s">
        <v>12</v>
      </c>
      <c r="D14" s="9" t="s">
        <v>49</v>
      </c>
      <c r="E14" s="9" t="s">
        <v>50</v>
      </c>
      <c r="F14" s="9">
        <v>45</v>
      </c>
      <c r="G14" s="10">
        <f t="shared" si="0"/>
        <v>22.5</v>
      </c>
      <c r="H14" s="10">
        <f t="shared" si="1"/>
        <v>64</v>
      </c>
      <c r="I14" s="9">
        <f t="shared" si="2"/>
        <v>2880</v>
      </c>
      <c r="J14" s="46">
        <v>2107</v>
      </c>
      <c r="K14" s="46">
        <v>26.84</v>
      </c>
      <c r="L14" s="9"/>
      <c r="M14" s="47">
        <f t="shared" si="3"/>
        <v>1</v>
      </c>
      <c r="N14" s="9"/>
      <c r="O14" s="47">
        <f t="shared" si="4"/>
        <v>1</v>
      </c>
    </row>
    <row r="15" spans="1:15">
      <c r="A15" s="11" t="s">
        <v>51</v>
      </c>
      <c r="B15" s="11" t="s">
        <v>11</v>
      </c>
      <c r="C15" s="11" t="s">
        <v>12</v>
      </c>
      <c r="D15" s="11" t="s">
        <v>52</v>
      </c>
      <c r="E15" s="11" t="s">
        <v>53</v>
      </c>
      <c r="F15" s="11">
        <v>36</v>
      </c>
      <c r="G15" s="10">
        <f t="shared" si="0"/>
        <v>18</v>
      </c>
      <c r="H15" s="10">
        <f t="shared" si="1"/>
        <v>80</v>
      </c>
      <c r="I15" s="9">
        <f t="shared" si="2"/>
        <v>2880</v>
      </c>
      <c r="J15" s="46">
        <v>2246</v>
      </c>
      <c r="K15" s="46">
        <v>22.01</v>
      </c>
      <c r="L15" s="9"/>
      <c r="M15" s="47">
        <f t="shared" si="3"/>
        <v>1</v>
      </c>
      <c r="N15" s="9"/>
      <c r="O15" s="47">
        <f t="shared" si="4"/>
        <v>1</v>
      </c>
    </row>
    <row r="16" spans="1:15">
      <c r="A16" s="9" t="s">
        <v>54</v>
      </c>
      <c r="B16" s="9" t="s">
        <v>11</v>
      </c>
      <c r="C16" s="9" t="s">
        <v>12</v>
      </c>
      <c r="D16" s="9" t="s">
        <v>55</v>
      </c>
      <c r="E16" s="9" t="s">
        <v>56</v>
      </c>
      <c r="F16" s="9">
        <v>19</v>
      </c>
      <c r="G16" s="10">
        <f t="shared" si="0"/>
        <v>9.5</v>
      </c>
      <c r="H16" s="10">
        <f t="shared" si="1"/>
        <v>151.578947368421</v>
      </c>
      <c r="I16" s="9">
        <f t="shared" si="2"/>
        <v>2880</v>
      </c>
      <c r="J16" s="46">
        <v>2533</v>
      </c>
      <c r="K16" s="46">
        <v>12.05</v>
      </c>
      <c r="L16" s="9"/>
      <c r="M16" s="47">
        <f t="shared" si="3"/>
        <v>1</v>
      </c>
      <c r="N16" s="9"/>
      <c r="O16" s="47">
        <f t="shared" si="4"/>
        <v>1</v>
      </c>
    </row>
    <row r="17" spans="1:15">
      <c r="A17" s="11" t="s">
        <v>57</v>
      </c>
      <c r="B17" s="11" t="s">
        <v>11</v>
      </c>
      <c r="C17" s="11" t="s">
        <v>12</v>
      </c>
      <c r="D17" s="11" t="s">
        <v>58</v>
      </c>
      <c r="E17" s="11" t="s">
        <v>59</v>
      </c>
      <c r="F17" s="11">
        <v>15</v>
      </c>
      <c r="G17" s="10">
        <f t="shared" si="0"/>
        <v>7.5</v>
      </c>
      <c r="H17" s="10">
        <f t="shared" si="1"/>
        <v>192</v>
      </c>
      <c r="I17" s="9">
        <f t="shared" si="2"/>
        <v>2880</v>
      </c>
      <c r="J17" s="46">
        <v>2375</v>
      </c>
      <c r="K17" s="46">
        <v>17.53</v>
      </c>
      <c r="L17" s="9"/>
      <c r="M17" s="47">
        <f t="shared" si="3"/>
        <v>1</v>
      </c>
      <c r="N17" s="9"/>
      <c r="O17" s="47">
        <f t="shared" si="4"/>
        <v>1</v>
      </c>
    </row>
    <row r="18" spans="1:15">
      <c r="A18" s="9" t="s">
        <v>60</v>
      </c>
      <c r="B18" s="9" t="s">
        <v>11</v>
      </c>
      <c r="C18" s="9" t="s">
        <v>12</v>
      </c>
      <c r="D18" s="9" t="s">
        <v>61</v>
      </c>
      <c r="E18" s="9" t="s">
        <v>62</v>
      </c>
      <c r="F18" s="9">
        <v>42</v>
      </c>
      <c r="G18" s="10">
        <f t="shared" si="0"/>
        <v>21</v>
      </c>
      <c r="H18" s="10">
        <f t="shared" si="1"/>
        <v>68.5714285714286</v>
      </c>
      <c r="I18" s="9">
        <f t="shared" si="2"/>
        <v>2880</v>
      </c>
      <c r="J18" s="46">
        <v>1830</v>
      </c>
      <c r="K18" s="46">
        <v>36.46</v>
      </c>
      <c r="L18" s="9"/>
      <c r="M18" s="47">
        <f t="shared" si="3"/>
        <v>1</v>
      </c>
      <c r="N18" s="9"/>
      <c r="O18" s="47">
        <f t="shared" si="4"/>
        <v>1</v>
      </c>
    </row>
    <row r="19" spans="1:15">
      <c r="A19" s="11" t="s">
        <v>63</v>
      </c>
      <c r="B19" s="11" t="s">
        <v>11</v>
      </c>
      <c r="C19" s="11" t="s">
        <v>12</v>
      </c>
      <c r="D19" s="11" t="s">
        <v>64</v>
      </c>
      <c r="E19" s="11" t="s">
        <v>65</v>
      </c>
      <c r="F19" s="11">
        <v>42</v>
      </c>
      <c r="G19" s="10">
        <f t="shared" si="0"/>
        <v>21</v>
      </c>
      <c r="H19" s="10">
        <f t="shared" si="1"/>
        <v>68.5714285714286</v>
      </c>
      <c r="I19" s="9">
        <f t="shared" si="2"/>
        <v>2880</v>
      </c>
      <c r="J19" s="46">
        <v>2159</v>
      </c>
      <c r="K19" s="46">
        <v>25.03</v>
      </c>
      <c r="L19" s="9"/>
      <c r="M19" s="47">
        <f t="shared" si="3"/>
        <v>1</v>
      </c>
      <c r="N19" s="9"/>
      <c r="O19" s="47">
        <f t="shared" si="4"/>
        <v>1</v>
      </c>
    </row>
    <row r="20" spans="1:15">
      <c r="A20" s="9" t="s">
        <v>66</v>
      </c>
      <c r="B20" s="9" t="s">
        <v>11</v>
      </c>
      <c r="C20" s="9" t="s">
        <v>12</v>
      </c>
      <c r="D20" s="9" t="s">
        <v>67</v>
      </c>
      <c r="E20" s="9" t="s">
        <v>68</v>
      </c>
      <c r="F20" s="9">
        <v>41</v>
      </c>
      <c r="G20" s="10">
        <f t="shared" si="0"/>
        <v>20.5</v>
      </c>
      <c r="H20" s="10">
        <f t="shared" si="1"/>
        <v>70.2439024390244</v>
      </c>
      <c r="I20" s="9">
        <f t="shared" si="2"/>
        <v>2880</v>
      </c>
      <c r="J20" s="46">
        <v>2077</v>
      </c>
      <c r="K20" s="46">
        <v>27.88</v>
      </c>
      <c r="L20" s="9"/>
      <c r="M20" s="47">
        <f t="shared" si="3"/>
        <v>1</v>
      </c>
      <c r="N20" s="9"/>
      <c r="O20" s="47">
        <f t="shared" si="4"/>
        <v>1</v>
      </c>
    </row>
    <row r="21" spans="1:15">
      <c r="A21" s="11" t="s">
        <v>69</v>
      </c>
      <c r="B21" s="11" t="s">
        <v>11</v>
      </c>
      <c r="C21" s="11" t="s">
        <v>12</v>
      </c>
      <c r="D21" s="11" t="s">
        <v>70</v>
      </c>
      <c r="E21" s="11" t="s">
        <v>71</v>
      </c>
      <c r="F21" s="11">
        <v>40</v>
      </c>
      <c r="G21" s="10">
        <f t="shared" si="0"/>
        <v>20</v>
      </c>
      <c r="H21" s="10">
        <f t="shared" si="1"/>
        <v>72</v>
      </c>
      <c r="I21" s="9">
        <f t="shared" si="2"/>
        <v>2880</v>
      </c>
      <c r="J21" s="46">
        <v>2381</v>
      </c>
      <c r="K21" s="46">
        <v>17.33</v>
      </c>
      <c r="L21" s="9"/>
      <c r="M21" s="47">
        <f t="shared" si="3"/>
        <v>1</v>
      </c>
      <c r="N21" s="9"/>
      <c r="O21" s="47">
        <f t="shared" si="4"/>
        <v>1</v>
      </c>
    </row>
    <row r="22" spans="1:15">
      <c r="A22" s="9" t="s">
        <v>72</v>
      </c>
      <c r="B22" s="9" t="s">
        <v>11</v>
      </c>
      <c r="C22" s="9" t="s">
        <v>12</v>
      </c>
      <c r="D22" s="9" t="s">
        <v>73</v>
      </c>
      <c r="E22" s="9" t="s">
        <v>74</v>
      </c>
      <c r="F22" s="9">
        <v>40</v>
      </c>
      <c r="G22" s="10">
        <f t="shared" si="0"/>
        <v>20</v>
      </c>
      <c r="H22" s="10">
        <f t="shared" si="1"/>
        <v>72</v>
      </c>
      <c r="I22" s="9">
        <f t="shared" si="2"/>
        <v>2880</v>
      </c>
      <c r="J22" s="46">
        <v>2116</v>
      </c>
      <c r="K22" s="46">
        <v>26.53</v>
      </c>
      <c r="L22" s="9"/>
      <c r="M22" s="47">
        <f t="shared" si="3"/>
        <v>1</v>
      </c>
      <c r="N22" s="9"/>
      <c r="O22" s="47">
        <f t="shared" si="4"/>
        <v>1</v>
      </c>
    </row>
    <row r="23" spans="1:15">
      <c r="A23" s="11" t="s">
        <v>75</v>
      </c>
      <c r="B23" s="11" t="s">
        <v>11</v>
      </c>
      <c r="C23" s="11" t="s">
        <v>12</v>
      </c>
      <c r="D23" s="11" t="s">
        <v>76</v>
      </c>
      <c r="E23" s="11" t="s">
        <v>77</v>
      </c>
      <c r="F23" s="11">
        <v>37</v>
      </c>
      <c r="G23" s="10">
        <f t="shared" si="0"/>
        <v>18.5</v>
      </c>
      <c r="H23" s="10">
        <f t="shared" si="1"/>
        <v>77.8378378378378</v>
      </c>
      <c r="I23" s="9">
        <f t="shared" si="2"/>
        <v>2880</v>
      </c>
      <c r="J23" s="46">
        <v>2266</v>
      </c>
      <c r="K23" s="46">
        <v>21.32</v>
      </c>
      <c r="L23" s="9"/>
      <c r="M23" s="47">
        <f t="shared" si="3"/>
        <v>1</v>
      </c>
      <c r="N23" s="9"/>
      <c r="O23" s="47">
        <f t="shared" si="4"/>
        <v>1</v>
      </c>
    </row>
    <row r="24" spans="1:15">
      <c r="A24" s="9" t="s">
        <v>78</v>
      </c>
      <c r="B24" s="9" t="s">
        <v>11</v>
      </c>
      <c r="C24" s="9" t="s">
        <v>12</v>
      </c>
      <c r="D24" s="9" t="s">
        <v>79</v>
      </c>
      <c r="E24" s="9" t="s">
        <v>80</v>
      </c>
      <c r="F24" s="9">
        <v>45</v>
      </c>
      <c r="G24" s="10">
        <f t="shared" si="0"/>
        <v>22.5</v>
      </c>
      <c r="H24" s="10">
        <f t="shared" si="1"/>
        <v>64</v>
      </c>
      <c r="I24" s="9">
        <f t="shared" si="2"/>
        <v>2880</v>
      </c>
      <c r="J24" s="46">
        <v>2341</v>
      </c>
      <c r="K24" s="46">
        <v>18.72</v>
      </c>
      <c r="L24" s="9"/>
      <c r="M24" s="47">
        <f t="shared" si="3"/>
        <v>1</v>
      </c>
      <c r="N24" s="9"/>
      <c r="O24" s="47">
        <f t="shared" si="4"/>
        <v>1</v>
      </c>
    </row>
    <row r="25" spans="1:15">
      <c r="A25" s="11" t="s">
        <v>81</v>
      </c>
      <c r="B25" s="11" t="s">
        <v>11</v>
      </c>
      <c r="C25" s="11" t="s">
        <v>12</v>
      </c>
      <c r="D25" s="11" t="s">
        <v>82</v>
      </c>
      <c r="E25" s="11" t="s">
        <v>83</v>
      </c>
      <c r="F25" s="11">
        <v>37</v>
      </c>
      <c r="G25" s="10">
        <f t="shared" si="0"/>
        <v>18.5</v>
      </c>
      <c r="H25" s="10">
        <f t="shared" si="1"/>
        <v>77.8378378378378</v>
      </c>
      <c r="I25" s="9">
        <f t="shared" si="2"/>
        <v>2880</v>
      </c>
      <c r="J25" s="46">
        <v>2023</v>
      </c>
      <c r="K25" s="46">
        <v>29.76</v>
      </c>
      <c r="L25" s="9"/>
      <c r="M25" s="47">
        <f t="shared" si="3"/>
        <v>1</v>
      </c>
      <c r="N25" s="9"/>
      <c r="O25" s="47">
        <f t="shared" si="4"/>
        <v>1</v>
      </c>
    </row>
    <row r="26" spans="1:15">
      <c r="A26" s="9" t="s">
        <v>84</v>
      </c>
      <c r="B26" s="9" t="s">
        <v>11</v>
      </c>
      <c r="C26" s="9" t="s">
        <v>12</v>
      </c>
      <c r="D26" s="9" t="s">
        <v>85</v>
      </c>
      <c r="E26" s="9" t="s">
        <v>86</v>
      </c>
      <c r="F26" s="9">
        <v>41</v>
      </c>
      <c r="G26" s="10">
        <f t="shared" si="0"/>
        <v>20.5</v>
      </c>
      <c r="H26" s="10">
        <f t="shared" si="1"/>
        <v>70.2439024390244</v>
      </c>
      <c r="I26" s="9">
        <f t="shared" si="2"/>
        <v>2880</v>
      </c>
      <c r="J26" s="46">
        <v>2268</v>
      </c>
      <c r="K26" s="46">
        <v>21.25</v>
      </c>
      <c r="L26" s="9"/>
      <c r="M26" s="47">
        <f t="shared" si="3"/>
        <v>1</v>
      </c>
      <c r="N26" s="9"/>
      <c r="O26" s="47">
        <f t="shared" si="4"/>
        <v>1</v>
      </c>
    </row>
    <row r="27" spans="1:15">
      <c r="A27" s="11" t="s">
        <v>87</v>
      </c>
      <c r="B27" s="11" t="s">
        <v>11</v>
      </c>
      <c r="C27" s="11" t="s">
        <v>12</v>
      </c>
      <c r="D27" s="11" t="s">
        <v>88</v>
      </c>
      <c r="E27" s="11" t="s">
        <v>89</v>
      </c>
      <c r="F27" s="11">
        <v>36</v>
      </c>
      <c r="G27" s="10">
        <f t="shared" si="0"/>
        <v>18</v>
      </c>
      <c r="H27" s="10">
        <f t="shared" si="1"/>
        <v>80</v>
      </c>
      <c r="I27" s="9">
        <f t="shared" si="2"/>
        <v>2880</v>
      </c>
      <c r="J27" s="46">
        <v>2222</v>
      </c>
      <c r="K27" s="46">
        <v>22.85</v>
      </c>
      <c r="L27" s="9"/>
      <c r="M27" s="47">
        <f t="shared" si="3"/>
        <v>1</v>
      </c>
      <c r="N27" s="9"/>
      <c r="O27" s="47">
        <f t="shared" si="4"/>
        <v>1</v>
      </c>
    </row>
    <row r="28" spans="1:15">
      <c r="A28" s="9" t="s">
        <v>90</v>
      </c>
      <c r="B28" s="9" t="s">
        <v>11</v>
      </c>
      <c r="C28" s="9" t="s">
        <v>12</v>
      </c>
      <c r="D28" s="9" t="s">
        <v>91</v>
      </c>
      <c r="E28" s="9" t="s">
        <v>92</v>
      </c>
      <c r="F28" s="9">
        <v>40</v>
      </c>
      <c r="G28" s="10">
        <f t="shared" si="0"/>
        <v>20</v>
      </c>
      <c r="H28" s="10">
        <f t="shared" si="1"/>
        <v>72</v>
      </c>
      <c r="I28" s="9">
        <f t="shared" si="2"/>
        <v>2880</v>
      </c>
      <c r="J28" s="46">
        <v>2400</v>
      </c>
      <c r="K28" s="46">
        <v>16.67</v>
      </c>
      <c r="L28" s="9"/>
      <c r="M28" s="47">
        <f t="shared" si="3"/>
        <v>1</v>
      </c>
      <c r="N28" s="9"/>
      <c r="O28" s="47">
        <f t="shared" si="4"/>
        <v>1</v>
      </c>
    </row>
    <row r="29" spans="1:15">
      <c r="A29" s="11" t="s">
        <v>93</v>
      </c>
      <c r="B29" s="11" t="s">
        <v>11</v>
      </c>
      <c r="C29" s="11" t="s">
        <v>12</v>
      </c>
      <c r="D29" s="11" t="s">
        <v>94</v>
      </c>
      <c r="E29" s="11" t="s">
        <v>95</v>
      </c>
      <c r="F29" s="11">
        <v>38</v>
      </c>
      <c r="G29" s="10">
        <f t="shared" si="0"/>
        <v>19</v>
      </c>
      <c r="H29" s="10">
        <f t="shared" si="1"/>
        <v>75.7894736842105</v>
      </c>
      <c r="I29" s="9">
        <f t="shared" si="2"/>
        <v>2880</v>
      </c>
      <c r="J29" s="46">
        <v>2221</v>
      </c>
      <c r="K29" s="46">
        <v>22.88</v>
      </c>
      <c r="L29" s="9"/>
      <c r="M29" s="47">
        <f t="shared" si="3"/>
        <v>1</v>
      </c>
      <c r="N29" s="9"/>
      <c r="O29" s="47">
        <f t="shared" si="4"/>
        <v>1</v>
      </c>
    </row>
    <row r="30" spans="1:15">
      <c r="A30" s="9" t="s">
        <v>96</v>
      </c>
      <c r="B30" s="9" t="s">
        <v>11</v>
      </c>
      <c r="C30" s="9" t="s">
        <v>12</v>
      </c>
      <c r="D30" s="9" t="s">
        <v>97</v>
      </c>
      <c r="E30" s="9" t="s">
        <v>98</v>
      </c>
      <c r="F30" s="9">
        <v>40</v>
      </c>
      <c r="G30" s="10">
        <f t="shared" si="0"/>
        <v>20</v>
      </c>
      <c r="H30" s="10">
        <f t="shared" si="1"/>
        <v>72</v>
      </c>
      <c r="I30" s="9">
        <f t="shared" si="2"/>
        <v>2880</v>
      </c>
      <c r="J30" s="46">
        <v>2554</v>
      </c>
      <c r="K30" s="46">
        <v>11.32</v>
      </c>
      <c r="L30" s="9"/>
      <c r="M30" s="47">
        <f t="shared" si="3"/>
        <v>1</v>
      </c>
      <c r="N30" s="9"/>
      <c r="O30" s="47">
        <f t="shared" si="4"/>
        <v>1</v>
      </c>
    </row>
    <row r="31" spans="1:15">
      <c r="A31" s="11" t="s">
        <v>99</v>
      </c>
      <c r="B31" s="11" t="s">
        <v>11</v>
      </c>
      <c r="C31" s="11" t="s">
        <v>12</v>
      </c>
      <c r="D31" s="11" t="s">
        <v>100</v>
      </c>
      <c r="E31" s="11" t="s">
        <v>101</v>
      </c>
      <c r="F31" s="11">
        <v>38</v>
      </c>
      <c r="G31" s="10">
        <f t="shared" si="0"/>
        <v>19</v>
      </c>
      <c r="H31" s="10">
        <f t="shared" si="1"/>
        <v>75.7894736842105</v>
      </c>
      <c r="I31" s="9">
        <f t="shared" si="2"/>
        <v>2880</v>
      </c>
      <c r="J31" s="46">
        <v>2512</v>
      </c>
      <c r="K31" s="46">
        <v>12.78</v>
      </c>
      <c r="L31" s="9"/>
      <c r="M31" s="47">
        <f t="shared" si="3"/>
        <v>1</v>
      </c>
      <c r="N31" s="9"/>
      <c r="O31" s="47">
        <f t="shared" si="4"/>
        <v>1</v>
      </c>
    </row>
    <row r="32" spans="1:15">
      <c r="A32" s="9" t="s">
        <v>102</v>
      </c>
      <c r="B32" s="9" t="s">
        <v>11</v>
      </c>
      <c r="C32" s="9" t="s">
        <v>12</v>
      </c>
      <c r="D32" s="9" t="s">
        <v>103</v>
      </c>
      <c r="E32" s="9" t="s">
        <v>104</v>
      </c>
      <c r="F32" s="9">
        <v>39</v>
      </c>
      <c r="G32" s="10">
        <f t="shared" si="0"/>
        <v>19.5</v>
      </c>
      <c r="H32" s="10">
        <f t="shared" si="1"/>
        <v>73.8461538461538</v>
      </c>
      <c r="I32" s="9">
        <f t="shared" si="2"/>
        <v>2880</v>
      </c>
      <c r="J32" s="46">
        <v>2187</v>
      </c>
      <c r="K32" s="46">
        <v>24.06</v>
      </c>
      <c r="L32" s="9"/>
      <c r="M32" s="47">
        <f t="shared" si="3"/>
        <v>1</v>
      </c>
      <c r="N32" s="9"/>
      <c r="O32" s="47">
        <f t="shared" si="4"/>
        <v>1</v>
      </c>
    </row>
    <row r="33" spans="1:15">
      <c r="A33" s="11" t="s">
        <v>105</v>
      </c>
      <c r="B33" s="11" t="s">
        <v>11</v>
      </c>
      <c r="C33" s="11" t="s">
        <v>12</v>
      </c>
      <c r="D33" s="11" t="s">
        <v>106</v>
      </c>
      <c r="E33" s="11" t="s">
        <v>107</v>
      </c>
      <c r="F33" s="11">
        <v>40</v>
      </c>
      <c r="G33" s="10">
        <f t="shared" si="0"/>
        <v>20</v>
      </c>
      <c r="H33" s="10">
        <f t="shared" si="1"/>
        <v>72</v>
      </c>
      <c r="I33" s="9">
        <f t="shared" si="2"/>
        <v>2880</v>
      </c>
      <c r="J33" s="46">
        <v>2407</v>
      </c>
      <c r="K33" s="46">
        <v>16.42</v>
      </c>
      <c r="L33" s="9"/>
      <c r="M33" s="47">
        <f t="shared" si="3"/>
        <v>1</v>
      </c>
      <c r="N33" s="9"/>
      <c r="O33" s="47">
        <f t="shared" si="4"/>
        <v>1</v>
      </c>
    </row>
    <row r="34" spans="1:15">
      <c r="A34" s="9" t="s">
        <v>108</v>
      </c>
      <c r="B34" s="9" t="s">
        <v>11</v>
      </c>
      <c r="C34" s="9" t="s">
        <v>12</v>
      </c>
      <c r="D34" s="9" t="s">
        <v>109</v>
      </c>
      <c r="E34" s="9" t="s">
        <v>110</v>
      </c>
      <c r="F34" s="9">
        <v>42</v>
      </c>
      <c r="G34" s="10">
        <f t="shared" si="0"/>
        <v>21</v>
      </c>
      <c r="H34" s="10">
        <f t="shared" si="1"/>
        <v>68.5714285714286</v>
      </c>
      <c r="I34" s="9">
        <f t="shared" si="2"/>
        <v>2880</v>
      </c>
      <c r="J34" s="46">
        <v>2172</v>
      </c>
      <c r="K34" s="46">
        <v>24.58</v>
      </c>
      <c r="L34" s="9"/>
      <c r="M34" s="47">
        <f t="shared" si="3"/>
        <v>1</v>
      </c>
      <c r="N34" s="9"/>
      <c r="O34" s="47">
        <f t="shared" si="4"/>
        <v>1</v>
      </c>
    </row>
    <row r="35" spans="1:15">
      <c r="A35" s="11" t="s">
        <v>111</v>
      </c>
      <c r="B35" s="11" t="s">
        <v>11</v>
      </c>
      <c r="C35" s="11" t="s">
        <v>12</v>
      </c>
      <c r="D35" s="11" t="s">
        <v>112</v>
      </c>
      <c r="E35" s="11" t="s">
        <v>113</v>
      </c>
      <c r="F35" s="11">
        <v>28</v>
      </c>
      <c r="G35" s="10">
        <f t="shared" si="0"/>
        <v>14</v>
      </c>
      <c r="H35" s="10">
        <f t="shared" si="1"/>
        <v>102.857142857143</v>
      </c>
      <c r="I35" s="9">
        <f t="shared" si="2"/>
        <v>2880</v>
      </c>
      <c r="J35" s="46">
        <v>2529</v>
      </c>
      <c r="K35" s="46">
        <v>12.19</v>
      </c>
      <c r="L35" s="9"/>
      <c r="M35" s="47">
        <f t="shared" si="3"/>
        <v>1</v>
      </c>
      <c r="N35" s="9"/>
      <c r="O35" s="47">
        <f t="shared" si="4"/>
        <v>1</v>
      </c>
    </row>
    <row r="36" spans="1:15">
      <c r="A36" s="41" t="s">
        <v>114</v>
      </c>
      <c r="B36" s="41" t="s">
        <v>11</v>
      </c>
      <c r="C36" s="41" t="s">
        <v>12</v>
      </c>
      <c r="D36" s="41" t="s">
        <v>115</v>
      </c>
      <c r="E36" s="41" t="s">
        <v>116</v>
      </c>
      <c r="F36" s="41">
        <v>25</v>
      </c>
      <c r="G36" s="42">
        <f t="shared" si="0"/>
        <v>12.5</v>
      </c>
      <c r="H36" s="42">
        <f t="shared" si="1"/>
        <v>115.2</v>
      </c>
      <c r="I36" s="41">
        <f t="shared" si="2"/>
        <v>2880</v>
      </c>
      <c r="J36" s="48">
        <v>9978</v>
      </c>
      <c r="K36" s="48">
        <v>-246.46</v>
      </c>
      <c r="L36" s="9"/>
      <c r="M36" s="47">
        <f t="shared" si="3"/>
        <v>1</v>
      </c>
      <c r="N36" s="9"/>
      <c r="O36" s="47">
        <f t="shared" si="4"/>
        <v>1</v>
      </c>
    </row>
    <row r="37" spans="1:15">
      <c r="A37" s="11" t="s">
        <v>117</v>
      </c>
      <c r="B37" s="11" t="s">
        <v>118</v>
      </c>
      <c r="C37" s="11" t="s">
        <v>12</v>
      </c>
      <c r="D37" s="11" t="s">
        <v>119</v>
      </c>
      <c r="E37" s="11" t="s">
        <v>120</v>
      </c>
      <c r="F37" s="11">
        <v>39</v>
      </c>
      <c r="G37" s="10">
        <f t="shared" si="0"/>
        <v>19.5</v>
      </c>
      <c r="H37" s="10">
        <f t="shared" si="1"/>
        <v>73.8461538461538</v>
      </c>
      <c r="I37" s="9">
        <f t="shared" si="2"/>
        <v>2880</v>
      </c>
      <c r="J37" s="46">
        <v>2730</v>
      </c>
      <c r="K37" s="46">
        <v>5.21</v>
      </c>
      <c r="L37" s="9"/>
      <c r="M37" s="47">
        <f t="shared" si="3"/>
        <v>1</v>
      </c>
      <c r="N37" s="9"/>
      <c r="O37" s="47">
        <f t="shared" si="4"/>
        <v>1</v>
      </c>
    </row>
    <row r="38" spans="1:15">
      <c r="A38" s="12" t="s">
        <v>121</v>
      </c>
      <c r="B38" s="12" t="s">
        <v>118</v>
      </c>
      <c r="C38" s="12" t="s">
        <v>12</v>
      </c>
      <c r="D38" s="12" t="s">
        <v>122</v>
      </c>
      <c r="E38" s="12" t="s">
        <v>123</v>
      </c>
      <c r="F38" s="12">
        <v>43</v>
      </c>
      <c r="G38" s="10">
        <f>F38*0.5</f>
        <v>21.5</v>
      </c>
      <c r="H38" s="10">
        <f>24*60/G38</f>
        <v>66.9767441860465</v>
      </c>
      <c r="I38" s="10">
        <f>H38*F38</f>
        <v>2880</v>
      </c>
      <c r="J38" s="46">
        <v>2720</v>
      </c>
      <c r="K38" s="46">
        <v>5.56</v>
      </c>
      <c r="L38" s="9"/>
      <c r="M38" s="47">
        <f>1-L38/I38</f>
        <v>1</v>
      </c>
      <c r="N38" s="9"/>
      <c r="O38" s="47">
        <f>1-N38/I38</f>
        <v>1</v>
      </c>
    </row>
    <row r="39" spans="1:15">
      <c r="A39" s="11" t="s">
        <v>124</v>
      </c>
      <c r="B39" s="11" t="s">
        <v>118</v>
      </c>
      <c r="C39" s="11" t="s">
        <v>12</v>
      </c>
      <c r="D39" s="11" t="s">
        <v>125</v>
      </c>
      <c r="E39" s="11" t="s">
        <v>126</v>
      </c>
      <c r="F39" s="11">
        <v>35</v>
      </c>
      <c r="G39" s="10">
        <f>F39*0.5</f>
        <v>17.5</v>
      </c>
      <c r="H39" s="10">
        <f>24*60/G39</f>
        <v>82.2857142857143</v>
      </c>
      <c r="I39" s="10">
        <f>H39*F39</f>
        <v>2880</v>
      </c>
      <c r="J39" s="46">
        <v>2373</v>
      </c>
      <c r="K39" s="46">
        <v>17.6</v>
      </c>
      <c r="L39" s="9"/>
      <c r="M39" s="47">
        <f>1-L39/I39</f>
        <v>1</v>
      </c>
      <c r="N39" s="9"/>
      <c r="O39" s="47">
        <f>1-N39/I39</f>
        <v>1</v>
      </c>
    </row>
    <row r="40" spans="1:15">
      <c r="A40" s="9" t="s">
        <v>127</v>
      </c>
      <c r="B40" s="9" t="s">
        <v>118</v>
      </c>
      <c r="C40" s="9" t="s">
        <v>12</v>
      </c>
      <c r="D40" s="9" t="s">
        <v>128</v>
      </c>
      <c r="E40" s="9" t="s">
        <v>129</v>
      </c>
      <c r="F40" s="9">
        <v>36</v>
      </c>
      <c r="G40" s="10">
        <f>F40*0.5</f>
        <v>18</v>
      </c>
      <c r="H40" s="10">
        <f>24*60/G40</f>
        <v>80</v>
      </c>
      <c r="I40" s="10">
        <f>H40*F40</f>
        <v>2880</v>
      </c>
      <c r="J40" s="46">
        <v>2536</v>
      </c>
      <c r="K40" s="46">
        <v>11.94</v>
      </c>
      <c r="L40" s="9"/>
      <c r="M40" s="47">
        <f>1-L40/I40</f>
        <v>1</v>
      </c>
      <c r="N40" s="9"/>
      <c r="O40" s="47">
        <f>1-N40/I40</f>
        <v>1</v>
      </c>
    </row>
    <row r="41" spans="1:15">
      <c r="A41" s="43"/>
      <c r="B41" s="43"/>
      <c r="C41" s="43"/>
      <c r="D41" s="43"/>
      <c r="E41" s="43"/>
      <c r="F41" s="43"/>
      <c r="G41" s="44"/>
      <c r="H41" s="44"/>
      <c r="I41" s="49">
        <f>SUM(I2:I40)</f>
        <v>112320</v>
      </c>
      <c r="J41" s="50">
        <f>SUM(J2:J40)</f>
        <v>95188</v>
      </c>
      <c r="K41" s="51">
        <f>1-J41/I41</f>
        <v>0.15252849002849</v>
      </c>
      <c r="L41" s="50">
        <f>SUM(L3:L40)</f>
        <v>0</v>
      </c>
      <c r="M41" s="51">
        <f>1-L41/I41</f>
        <v>1</v>
      </c>
      <c r="N41" s="50">
        <f>SUM(N3:N40)</f>
        <v>0</v>
      </c>
      <c r="O41" s="51">
        <f>1-N41/I41</f>
        <v>1</v>
      </c>
    </row>
    <row r="44" ht="14.4" spans="11:11">
      <c r="K44" s="13"/>
    </row>
  </sheetData>
  <autoFilter xmlns:etc="http://www.wps.cn/officeDocument/2017/etCustomData" ref="A1:O41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1"/>
  <sheetViews>
    <sheetView workbookViewId="0">
      <selection activeCell="V5" sqref="V5"/>
    </sheetView>
  </sheetViews>
  <sheetFormatPr defaultColWidth="9" defaultRowHeight="13.8"/>
  <cols>
    <col min="1" max="1" width="11.3333333333333" customWidth="1"/>
    <col min="2" max="3" width="12.4444444444444" customWidth="1"/>
    <col min="4" max="4" width="10.4444444444444" customWidth="1"/>
    <col min="5" max="5" width="9.66666666666667" customWidth="1"/>
    <col min="6" max="6" width="10.2222222222222" customWidth="1"/>
    <col min="7" max="7" width="9.33333333333333" customWidth="1"/>
  </cols>
  <sheetData>
    <row r="1" spans="2:11">
      <c r="B1" s="31">
        <v>43423</v>
      </c>
      <c r="C1" s="31"/>
      <c r="D1" s="31"/>
      <c r="E1" s="31"/>
      <c r="F1" s="31">
        <v>43424</v>
      </c>
      <c r="G1" s="32"/>
      <c r="H1" s="32"/>
      <c r="I1" s="31">
        <v>43425</v>
      </c>
      <c r="J1" s="32"/>
      <c r="K1" s="32"/>
    </row>
    <row r="2" ht="15.6" spans="1:11">
      <c r="A2" s="33" t="s">
        <v>130</v>
      </c>
      <c r="B2" s="34" t="s">
        <v>131</v>
      </c>
      <c r="C2" s="34" t="s">
        <v>132</v>
      </c>
      <c r="D2" s="34" t="s">
        <v>133</v>
      </c>
      <c r="E2" s="34" t="s">
        <v>134</v>
      </c>
      <c r="F2" s="34" t="s">
        <v>132</v>
      </c>
      <c r="G2" s="34" t="s">
        <v>133</v>
      </c>
      <c r="H2" s="34" t="s">
        <v>134</v>
      </c>
      <c r="I2" s="34" t="s">
        <v>132</v>
      </c>
      <c r="J2" s="34" t="s">
        <v>133</v>
      </c>
      <c r="K2" s="34" t="s">
        <v>134</v>
      </c>
    </row>
    <row r="3" ht="15.6" spans="1:11">
      <c r="A3" s="35" t="s">
        <v>135</v>
      </c>
      <c r="B3" s="36">
        <v>180</v>
      </c>
      <c r="C3" s="24">
        <v>178</v>
      </c>
      <c r="D3" s="37">
        <f t="shared" ref="D3:D34" si="0">1-C3/B3</f>
        <v>0.0111111111111111</v>
      </c>
      <c r="E3" s="37"/>
      <c r="F3" s="38">
        <v>178</v>
      </c>
      <c r="G3" s="37">
        <f>1-F3/B3</f>
        <v>0.0111111111111111</v>
      </c>
      <c r="H3" s="38"/>
      <c r="I3" s="38">
        <v>176</v>
      </c>
      <c r="J3" s="37">
        <f>1-I3/B3</f>
        <v>0.0222222222222223</v>
      </c>
      <c r="K3" s="38"/>
    </row>
    <row r="4" ht="15.6" spans="1:11">
      <c r="A4" s="35" t="s">
        <v>136</v>
      </c>
      <c r="B4" s="36">
        <v>180</v>
      </c>
      <c r="C4" s="24">
        <v>179</v>
      </c>
      <c r="D4" s="37">
        <f t="shared" si="0"/>
        <v>0.00555555555555554</v>
      </c>
      <c r="E4" s="37"/>
      <c r="F4" s="38">
        <v>178</v>
      </c>
      <c r="G4" s="37">
        <f t="shared" ref="G4:G67" si="1">1-F4/B4</f>
        <v>0.0111111111111111</v>
      </c>
      <c r="H4" s="38"/>
      <c r="I4" s="38">
        <v>176</v>
      </c>
      <c r="J4" s="37">
        <f t="shared" ref="J4:J67" si="2">1-I4/B4</f>
        <v>0.0222222222222223</v>
      </c>
      <c r="K4" s="38"/>
    </row>
    <row r="5" ht="15.6" spans="1:11">
      <c r="A5" s="35" t="s">
        <v>137</v>
      </c>
      <c r="B5" s="36">
        <v>180</v>
      </c>
      <c r="C5" s="24">
        <v>177</v>
      </c>
      <c r="D5" s="37">
        <f t="shared" si="0"/>
        <v>0.0166666666666667</v>
      </c>
      <c r="E5" s="37"/>
      <c r="F5" s="38">
        <v>178</v>
      </c>
      <c r="G5" s="37">
        <f t="shared" si="1"/>
        <v>0.0111111111111111</v>
      </c>
      <c r="H5" s="38"/>
      <c r="I5" s="38">
        <v>175</v>
      </c>
      <c r="J5" s="37">
        <f t="shared" si="2"/>
        <v>0.0277777777777778</v>
      </c>
      <c r="K5" s="38"/>
    </row>
    <row r="6" ht="15.6" spans="1:11">
      <c r="A6" s="35" t="s">
        <v>138</v>
      </c>
      <c r="B6" s="36">
        <v>180</v>
      </c>
      <c r="C6" s="24">
        <v>177</v>
      </c>
      <c r="D6" s="37">
        <f t="shared" si="0"/>
        <v>0.0166666666666667</v>
      </c>
      <c r="E6" s="37"/>
      <c r="F6" s="38">
        <v>178</v>
      </c>
      <c r="G6" s="37">
        <f t="shared" si="1"/>
        <v>0.0111111111111111</v>
      </c>
      <c r="H6" s="38"/>
      <c r="I6" s="38">
        <v>175</v>
      </c>
      <c r="J6" s="37">
        <f t="shared" si="2"/>
        <v>0.0277777777777778</v>
      </c>
      <c r="K6" s="38"/>
    </row>
    <row r="7" ht="15.6" spans="1:11">
      <c r="A7" s="35" t="s">
        <v>139</v>
      </c>
      <c r="B7" s="36">
        <v>180</v>
      </c>
      <c r="C7" s="24">
        <v>127</v>
      </c>
      <c r="D7" s="37">
        <f t="shared" si="0"/>
        <v>0.294444444444444</v>
      </c>
      <c r="E7" s="39"/>
      <c r="F7" s="38">
        <v>176</v>
      </c>
      <c r="G7" s="37">
        <f t="shared" si="1"/>
        <v>0.0222222222222223</v>
      </c>
      <c r="H7" s="38"/>
      <c r="I7" s="38">
        <v>173</v>
      </c>
      <c r="J7" s="37">
        <f t="shared" si="2"/>
        <v>0.0388888888888889</v>
      </c>
      <c r="K7" s="38"/>
    </row>
    <row r="8" ht="15.6" spans="1:11">
      <c r="A8" s="35" t="s">
        <v>140</v>
      </c>
      <c r="B8" s="36">
        <v>180</v>
      </c>
      <c r="C8" s="24">
        <v>163</v>
      </c>
      <c r="D8" s="37">
        <f t="shared" si="0"/>
        <v>0.0944444444444444</v>
      </c>
      <c r="E8" s="37"/>
      <c r="F8" s="38">
        <v>176</v>
      </c>
      <c r="G8" s="37">
        <f t="shared" si="1"/>
        <v>0.0222222222222223</v>
      </c>
      <c r="H8" s="38"/>
      <c r="I8" s="38">
        <v>174</v>
      </c>
      <c r="J8" s="37">
        <f t="shared" si="2"/>
        <v>0.0333333333333333</v>
      </c>
      <c r="K8" s="38"/>
    </row>
    <row r="9" ht="15.6" spans="1:11">
      <c r="A9" s="35" t="s">
        <v>141</v>
      </c>
      <c r="B9" s="36">
        <v>180</v>
      </c>
      <c r="C9" s="24">
        <v>120</v>
      </c>
      <c r="D9" s="37">
        <f t="shared" si="0"/>
        <v>0.333333333333333</v>
      </c>
      <c r="E9" s="39"/>
      <c r="F9" s="38">
        <v>175</v>
      </c>
      <c r="G9" s="37">
        <f t="shared" si="1"/>
        <v>0.0277777777777778</v>
      </c>
      <c r="H9" s="38"/>
      <c r="I9" s="38">
        <v>174</v>
      </c>
      <c r="J9" s="37">
        <f t="shared" si="2"/>
        <v>0.0333333333333333</v>
      </c>
      <c r="K9" s="38"/>
    </row>
    <row r="10" ht="15.6" spans="1:11">
      <c r="A10" s="35" t="s">
        <v>142</v>
      </c>
      <c r="B10" s="36">
        <v>180</v>
      </c>
      <c r="C10" s="24">
        <v>119</v>
      </c>
      <c r="D10" s="37">
        <f t="shared" si="0"/>
        <v>0.338888888888889</v>
      </c>
      <c r="E10" s="39"/>
      <c r="F10" s="38">
        <v>177</v>
      </c>
      <c r="G10" s="37">
        <f t="shared" si="1"/>
        <v>0.0166666666666667</v>
      </c>
      <c r="H10" s="38"/>
      <c r="I10" s="38">
        <v>171</v>
      </c>
      <c r="J10" s="37">
        <f t="shared" si="2"/>
        <v>0.05</v>
      </c>
      <c r="K10" s="38"/>
    </row>
    <row r="11" ht="15.6" spans="1:11">
      <c r="A11" s="35" t="s">
        <v>143</v>
      </c>
      <c r="B11" s="36">
        <v>180</v>
      </c>
      <c r="C11" s="24">
        <v>95</v>
      </c>
      <c r="D11" s="37">
        <f t="shared" si="0"/>
        <v>0.472222222222222</v>
      </c>
      <c r="E11" s="39"/>
      <c r="F11" s="38">
        <v>176</v>
      </c>
      <c r="G11" s="37">
        <f t="shared" si="1"/>
        <v>0.0222222222222223</v>
      </c>
      <c r="H11" s="38"/>
      <c r="I11" s="38">
        <v>176</v>
      </c>
      <c r="J11" s="37">
        <f t="shared" si="2"/>
        <v>0.0222222222222223</v>
      </c>
      <c r="K11" s="38"/>
    </row>
    <row r="12" ht="15.6" spans="1:11">
      <c r="A12" s="35" t="s">
        <v>144</v>
      </c>
      <c r="B12" s="36">
        <v>180</v>
      </c>
      <c r="C12" s="24">
        <v>168</v>
      </c>
      <c r="D12" s="37">
        <f t="shared" si="0"/>
        <v>0.0666666666666667</v>
      </c>
      <c r="E12" s="37"/>
      <c r="F12" s="38">
        <v>178</v>
      </c>
      <c r="G12" s="37">
        <f t="shared" si="1"/>
        <v>0.0111111111111111</v>
      </c>
      <c r="H12" s="38"/>
      <c r="I12" s="38">
        <v>176</v>
      </c>
      <c r="J12" s="37">
        <f t="shared" si="2"/>
        <v>0.0222222222222223</v>
      </c>
      <c r="K12" s="38"/>
    </row>
    <row r="13" ht="15.6" spans="1:11">
      <c r="A13" s="35" t="s">
        <v>145</v>
      </c>
      <c r="B13" s="36">
        <v>180</v>
      </c>
      <c r="C13" s="24">
        <v>119</v>
      </c>
      <c r="D13" s="37">
        <f t="shared" si="0"/>
        <v>0.338888888888889</v>
      </c>
      <c r="E13" s="39"/>
      <c r="F13" s="38">
        <v>162</v>
      </c>
      <c r="G13" s="37">
        <f t="shared" si="1"/>
        <v>0.1</v>
      </c>
      <c r="H13" s="38"/>
      <c r="I13" s="38">
        <v>172</v>
      </c>
      <c r="J13" s="37">
        <f t="shared" si="2"/>
        <v>0.0444444444444444</v>
      </c>
      <c r="K13" s="38"/>
    </row>
    <row r="14" ht="15.6" spans="1:11">
      <c r="A14" s="35" t="s">
        <v>146</v>
      </c>
      <c r="B14" s="36">
        <v>180</v>
      </c>
      <c r="C14" s="24">
        <v>156</v>
      </c>
      <c r="D14" s="37">
        <f t="shared" si="0"/>
        <v>0.133333333333333</v>
      </c>
      <c r="E14" s="39"/>
      <c r="F14" s="38">
        <v>177</v>
      </c>
      <c r="G14" s="37">
        <f t="shared" si="1"/>
        <v>0.0166666666666667</v>
      </c>
      <c r="H14" s="38"/>
      <c r="I14" s="38">
        <v>175</v>
      </c>
      <c r="J14" s="37">
        <f t="shared" si="2"/>
        <v>0.0277777777777778</v>
      </c>
      <c r="K14" s="38"/>
    </row>
    <row r="15" ht="15.6" spans="1:11">
      <c r="A15" s="35" t="s">
        <v>147</v>
      </c>
      <c r="B15" s="36">
        <v>180</v>
      </c>
      <c r="C15" s="24">
        <v>169</v>
      </c>
      <c r="D15" s="37">
        <f t="shared" si="0"/>
        <v>0.0611111111111111</v>
      </c>
      <c r="E15" s="37"/>
      <c r="F15" s="38">
        <v>178</v>
      </c>
      <c r="G15" s="37">
        <f t="shared" si="1"/>
        <v>0.0111111111111111</v>
      </c>
      <c r="H15" s="38"/>
      <c r="I15" s="38">
        <v>175</v>
      </c>
      <c r="J15" s="37">
        <f t="shared" si="2"/>
        <v>0.0277777777777778</v>
      </c>
      <c r="K15" s="38"/>
    </row>
    <row r="16" ht="15.6" spans="1:11">
      <c r="A16" s="35" t="s">
        <v>148</v>
      </c>
      <c r="B16" s="36">
        <v>180</v>
      </c>
      <c r="C16" s="24">
        <v>146</v>
      </c>
      <c r="D16" s="37">
        <f t="shared" si="0"/>
        <v>0.188888888888889</v>
      </c>
      <c r="E16" s="39"/>
      <c r="F16" s="38">
        <v>178</v>
      </c>
      <c r="G16" s="37">
        <f t="shared" si="1"/>
        <v>0.0111111111111111</v>
      </c>
      <c r="H16" s="38"/>
      <c r="I16" s="38">
        <v>174</v>
      </c>
      <c r="J16" s="37">
        <f t="shared" si="2"/>
        <v>0.0333333333333333</v>
      </c>
      <c r="K16" s="38"/>
    </row>
    <row r="17" ht="15.6" spans="1:11">
      <c r="A17" s="35" t="s">
        <v>149</v>
      </c>
      <c r="B17" s="36">
        <v>180</v>
      </c>
      <c r="C17" s="24">
        <v>162</v>
      </c>
      <c r="D17" s="37">
        <f t="shared" si="0"/>
        <v>0.1</v>
      </c>
      <c r="E17" s="37"/>
      <c r="F17" s="38">
        <v>178</v>
      </c>
      <c r="G17" s="37">
        <f t="shared" si="1"/>
        <v>0.0111111111111111</v>
      </c>
      <c r="H17" s="38"/>
      <c r="I17" s="38">
        <v>172</v>
      </c>
      <c r="J17" s="37">
        <f t="shared" si="2"/>
        <v>0.0444444444444444</v>
      </c>
      <c r="K17" s="38"/>
    </row>
    <row r="18" ht="15.6" spans="1:11">
      <c r="A18" s="35" t="s">
        <v>150</v>
      </c>
      <c r="B18" s="36">
        <v>180</v>
      </c>
      <c r="C18" s="24">
        <v>178</v>
      </c>
      <c r="D18" s="37">
        <f t="shared" si="0"/>
        <v>0.0111111111111111</v>
      </c>
      <c r="E18" s="40">
        <f>SUM(C3:C18)</f>
        <v>2433</v>
      </c>
      <c r="F18" s="38">
        <v>178</v>
      </c>
      <c r="G18" s="37">
        <f t="shared" si="1"/>
        <v>0.0111111111111111</v>
      </c>
      <c r="H18" s="40">
        <f>SUM(F3:F18)</f>
        <v>2821</v>
      </c>
      <c r="I18" s="38">
        <v>171</v>
      </c>
      <c r="J18" s="37">
        <f t="shared" si="2"/>
        <v>0.05</v>
      </c>
      <c r="K18" s="40">
        <f>SUM(I3:I18)</f>
        <v>2785</v>
      </c>
    </row>
    <row r="19" ht="15.6" spans="1:11">
      <c r="A19" s="35" t="s">
        <v>151</v>
      </c>
      <c r="B19" s="36">
        <v>144</v>
      </c>
      <c r="C19" s="24">
        <v>142</v>
      </c>
      <c r="D19" s="37">
        <f t="shared" si="0"/>
        <v>0.0138888888888888</v>
      </c>
      <c r="E19" s="37"/>
      <c r="F19" s="38">
        <v>143</v>
      </c>
      <c r="G19" s="37">
        <f t="shared" si="1"/>
        <v>0.00694444444444442</v>
      </c>
      <c r="H19" s="38"/>
      <c r="I19" s="38">
        <v>139</v>
      </c>
      <c r="J19" s="37">
        <f t="shared" si="2"/>
        <v>0.0347222222222222</v>
      </c>
      <c r="K19" s="38"/>
    </row>
    <row r="20" ht="15.6" spans="1:11">
      <c r="A20" s="35" t="s">
        <v>152</v>
      </c>
      <c r="B20" s="36">
        <v>144</v>
      </c>
      <c r="C20" s="24">
        <v>141</v>
      </c>
      <c r="D20" s="37">
        <f t="shared" si="0"/>
        <v>0.0208333333333334</v>
      </c>
      <c r="E20" s="37"/>
      <c r="F20" s="38">
        <v>142</v>
      </c>
      <c r="G20" s="37">
        <f t="shared" si="1"/>
        <v>0.0138888888888888</v>
      </c>
      <c r="H20" s="38"/>
      <c r="I20" s="38">
        <v>142</v>
      </c>
      <c r="J20" s="37">
        <f t="shared" si="2"/>
        <v>0.0138888888888888</v>
      </c>
      <c r="K20" s="38"/>
    </row>
    <row r="21" ht="15.6" spans="1:11">
      <c r="A21" s="35" t="s">
        <v>153</v>
      </c>
      <c r="B21" s="36">
        <v>144</v>
      </c>
      <c r="C21" s="24">
        <v>143</v>
      </c>
      <c r="D21" s="37">
        <f t="shared" si="0"/>
        <v>0.00694444444444442</v>
      </c>
      <c r="E21" s="37"/>
      <c r="F21" s="38">
        <v>143</v>
      </c>
      <c r="G21" s="37">
        <f t="shared" si="1"/>
        <v>0.00694444444444442</v>
      </c>
      <c r="H21" s="38"/>
      <c r="I21" s="38">
        <v>140</v>
      </c>
      <c r="J21" s="37">
        <f t="shared" si="2"/>
        <v>0.0277777777777778</v>
      </c>
      <c r="K21" s="38"/>
    </row>
    <row r="22" ht="15.6" spans="1:11">
      <c r="A22" s="35" t="s">
        <v>154</v>
      </c>
      <c r="B22" s="36">
        <v>144</v>
      </c>
      <c r="C22" s="24">
        <v>142</v>
      </c>
      <c r="D22" s="37">
        <f t="shared" si="0"/>
        <v>0.0138888888888888</v>
      </c>
      <c r="E22" s="37"/>
      <c r="F22" s="38">
        <v>140</v>
      </c>
      <c r="G22" s="37">
        <f t="shared" si="1"/>
        <v>0.0277777777777778</v>
      </c>
      <c r="H22" s="38"/>
      <c r="I22" s="38">
        <v>128</v>
      </c>
      <c r="J22" s="37">
        <f t="shared" si="2"/>
        <v>0.111111111111111</v>
      </c>
      <c r="K22" s="38"/>
    </row>
    <row r="23" ht="15.6" spans="1:11">
      <c r="A23" s="35" t="s">
        <v>155</v>
      </c>
      <c r="B23" s="36">
        <v>144</v>
      </c>
      <c r="C23" s="24">
        <v>92</v>
      </c>
      <c r="D23" s="37">
        <f t="shared" si="0"/>
        <v>0.361111111111111</v>
      </c>
      <c r="E23" s="39"/>
      <c r="F23" s="38">
        <v>125</v>
      </c>
      <c r="G23" s="37">
        <f t="shared" si="1"/>
        <v>0.131944444444444</v>
      </c>
      <c r="H23" s="38"/>
      <c r="I23" s="38">
        <v>138</v>
      </c>
      <c r="J23" s="37">
        <f t="shared" si="2"/>
        <v>0.0416666666666666</v>
      </c>
      <c r="K23" s="38"/>
    </row>
    <row r="24" ht="15.6" spans="1:11">
      <c r="A24" s="35" t="s">
        <v>156</v>
      </c>
      <c r="B24" s="36">
        <v>144</v>
      </c>
      <c r="C24" s="24">
        <v>143</v>
      </c>
      <c r="D24" s="37">
        <f t="shared" si="0"/>
        <v>0.00694444444444442</v>
      </c>
      <c r="E24" s="37"/>
      <c r="F24" s="38">
        <v>143</v>
      </c>
      <c r="G24" s="37">
        <f t="shared" si="1"/>
        <v>0.00694444444444442</v>
      </c>
      <c r="H24" s="38"/>
      <c r="I24" s="38">
        <v>141</v>
      </c>
      <c r="J24" s="37">
        <f t="shared" si="2"/>
        <v>0.0208333333333334</v>
      </c>
      <c r="K24" s="38"/>
    </row>
    <row r="25" ht="15.6" spans="1:11">
      <c r="A25" s="35" t="s">
        <v>157</v>
      </c>
      <c r="B25" s="36">
        <v>144</v>
      </c>
      <c r="C25" s="24">
        <v>143</v>
      </c>
      <c r="D25" s="37">
        <f t="shared" si="0"/>
        <v>0.00694444444444442</v>
      </c>
      <c r="E25" s="37"/>
      <c r="F25" s="38">
        <v>142</v>
      </c>
      <c r="G25" s="37">
        <f t="shared" si="1"/>
        <v>0.0138888888888888</v>
      </c>
      <c r="H25" s="38"/>
      <c r="I25" s="38">
        <v>141</v>
      </c>
      <c r="J25" s="37">
        <f t="shared" si="2"/>
        <v>0.0208333333333334</v>
      </c>
      <c r="K25" s="38"/>
    </row>
    <row r="26" ht="15.6" spans="1:11">
      <c r="A26" s="35" t="s">
        <v>158</v>
      </c>
      <c r="B26" s="36">
        <v>144</v>
      </c>
      <c r="C26" s="24">
        <v>122</v>
      </c>
      <c r="D26" s="37">
        <f t="shared" si="0"/>
        <v>0.152777777777778</v>
      </c>
      <c r="E26" s="39"/>
      <c r="F26" s="38">
        <v>143</v>
      </c>
      <c r="G26" s="37">
        <f t="shared" si="1"/>
        <v>0.00694444444444442</v>
      </c>
      <c r="H26" s="38"/>
      <c r="I26" s="38">
        <v>141</v>
      </c>
      <c r="J26" s="37">
        <f t="shared" si="2"/>
        <v>0.0208333333333334</v>
      </c>
      <c r="K26" s="38"/>
    </row>
    <row r="27" ht="15.6" spans="1:11">
      <c r="A27" s="35" t="s">
        <v>159</v>
      </c>
      <c r="B27" s="36">
        <v>144</v>
      </c>
      <c r="C27" s="24">
        <v>143</v>
      </c>
      <c r="D27" s="37">
        <f t="shared" si="0"/>
        <v>0.00694444444444442</v>
      </c>
      <c r="E27" s="37"/>
      <c r="F27" s="38">
        <v>142</v>
      </c>
      <c r="G27" s="37">
        <f t="shared" si="1"/>
        <v>0.0138888888888888</v>
      </c>
      <c r="H27" s="38"/>
      <c r="I27" s="38">
        <v>141</v>
      </c>
      <c r="J27" s="37">
        <f t="shared" si="2"/>
        <v>0.0208333333333334</v>
      </c>
      <c r="K27" s="38"/>
    </row>
    <row r="28" ht="15.6" spans="1:11">
      <c r="A28" s="35" t="s">
        <v>160</v>
      </c>
      <c r="B28" s="36">
        <v>144</v>
      </c>
      <c r="C28" s="24">
        <v>86</v>
      </c>
      <c r="D28" s="37">
        <f t="shared" si="0"/>
        <v>0.402777777777778</v>
      </c>
      <c r="E28" s="39"/>
      <c r="F28" s="38">
        <v>143</v>
      </c>
      <c r="G28" s="37">
        <f t="shared" si="1"/>
        <v>0.00694444444444442</v>
      </c>
      <c r="H28" s="38"/>
      <c r="I28" s="38">
        <v>139</v>
      </c>
      <c r="J28" s="37">
        <f t="shared" si="2"/>
        <v>0.0347222222222222</v>
      </c>
      <c r="K28" s="38"/>
    </row>
    <row r="29" ht="15.6" spans="1:11">
      <c r="A29" s="35" t="s">
        <v>161</v>
      </c>
      <c r="B29" s="36">
        <v>144</v>
      </c>
      <c r="C29" s="24">
        <v>88</v>
      </c>
      <c r="D29" s="37">
        <f t="shared" si="0"/>
        <v>0.388888888888889</v>
      </c>
      <c r="E29" s="39"/>
      <c r="F29" s="38">
        <v>143</v>
      </c>
      <c r="G29" s="37">
        <f t="shared" si="1"/>
        <v>0.00694444444444442</v>
      </c>
      <c r="H29" s="38"/>
      <c r="I29" s="38">
        <v>142</v>
      </c>
      <c r="J29" s="37">
        <f t="shared" si="2"/>
        <v>0.0138888888888888</v>
      </c>
      <c r="K29" s="38"/>
    </row>
    <row r="30" ht="15.6" spans="1:11">
      <c r="A30" s="35" t="s">
        <v>162</v>
      </c>
      <c r="B30" s="36">
        <v>144</v>
      </c>
      <c r="C30" s="24">
        <v>83</v>
      </c>
      <c r="D30" s="37">
        <f t="shared" si="0"/>
        <v>0.423611111111111</v>
      </c>
      <c r="E30" s="39"/>
      <c r="F30" s="38">
        <v>140</v>
      </c>
      <c r="G30" s="37">
        <f t="shared" si="1"/>
        <v>0.0277777777777778</v>
      </c>
      <c r="H30" s="38"/>
      <c r="I30" s="38">
        <v>141</v>
      </c>
      <c r="J30" s="37">
        <f t="shared" si="2"/>
        <v>0.0208333333333334</v>
      </c>
      <c r="K30" s="38"/>
    </row>
    <row r="31" ht="15.6" spans="1:11">
      <c r="A31" s="35" t="s">
        <v>163</v>
      </c>
      <c r="B31" s="36">
        <v>144</v>
      </c>
      <c r="C31" s="24">
        <v>86</v>
      </c>
      <c r="D31" s="37">
        <f t="shared" si="0"/>
        <v>0.402777777777778</v>
      </c>
      <c r="E31" s="39"/>
      <c r="F31" s="38">
        <v>138</v>
      </c>
      <c r="G31" s="37">
        <f t="shared" si="1"/>
        <v>0.0416666666666666</v>
      </c>
      <c r="H31" s="38"/>
      <c r="I31" s="38">
        <v>139</v>
      </c>
      <c r="J31" s="37">
        <f t="shared" si="2"/>
        <v>0.0347222222222222</v>
      </c>
      <c r="K31" s="38"/>
    </row>
    <row r="32" ht="15.6" spans="1:11">
      <c r="A32" s="35" t="s">
        <v>164</v>
      </c>
      <c r="B32" s="36">
        <v>144</v>
      </c>
      <c r="C32" s="24">
        <v>141</v>
      </c>
      <c r="D32" s="37">
        <f t="shared" si="0"/>
        <v>0.0208333333333334</v>
      </c>
      <c r="E32" s="37"/>
      <c r="F32" s="38">
        <v>142</v>
      </c>
      <c r="G32" s="37">
        <f t="shared" si="1"/>
        <v>0.0138888888888888</v>
      </c>
      <c r="H32" s="38"/>
      <c r="I32" s="38">
        <v>138</v>
      </c>
      <c r="J32" s="37">
        <f t="shared" si="2"/>
        <v>0.0416666666666666</v>
      </c>
      <c r="K32" s="38"/>
    </row>
    <row r="33" ht="15.6" spans="1:11">
      <c r="A33" s="35" t="s">
        <v>165</v>
      </c>
      <c r="B33" s="36">
        <v>144</v>
      </c>
      <c r="C33" s="24">
        <v>85</v>
      </c>
      <c r="D33" s="37">
        <f t="shared" si="0"/>
        <v>0.409722222222222</v>
      </c>
      <c r="E33" s="39"/>
      <c r="F33" s="38">
        <v>140</v>
      </c>
      <c r="G33" s="37">
        <f t="shared" si="1"/>
        <v>0.0277777777777778</v>
      </c>
      <c r="H33" s="38"/>
      <c r="I33" s="38">
        <v>140</v>
      </c>
      <c r="J33" s="37">
        <f t="shared" si="2"/>
        <v>0.0277777777777778</v>
      </c>
      <c r="K33" s="38"/>
    </row>
    <row r="34" ht="15.6" spans="1:11">
      <c r="A34" s="35" t="s">
        <v>166</v>
      </c>
      <c r="B34" s="36">
        <v>144</v>
      </c>
      <c r="C34" s="24">
        <v>68</v>
      </c>
      <c r="D34" s="37">
        <f t="shared" si="0"/>
        <v>0.527777777777778</v>
      </c>
      <c r="E34" s="39"/>
      <c r="F34" s="38">
        <v>121</v>
      </c>
      <c r="G34" s="37">
        <f t="shared" si="1"/>
        <v>0.159722222222222</v>
      </c>
      <c r="H34" s="38"/>
      <c r="I34" s="38">
        <v>135</v>
      </c>
      <c r="J34" s="37">
        <f t="shared" si="2"/>
        <v>0.0625</v>
      </c>
      <c r="K34" s="38"/>
    </row>
    <row r="35" ht="15.6" spans="1:11">
      <c r="A35" s="35" t="s">
        <v>167</v>
      </c>
      <c r="B35" s="36">
        <v>144</v>
      </c>
      <c r="C35" s="24">
        <v>116</v>
      </c>
      <c r="D35" s="37">
        <f t="shared" ref="D35:D66" si="3">1-C35/B35</f>
        <v>0.194444444444444</v>
      </c>
      <c r="E35" s="39"/>
      <c r="F35" s="38">
        <v>142</v>
      </c>
      <c r="G35" s="37">
        <f t="shared" si="1"/>
        <v>0.0138888888888888</v>
      </c>
      <c r="H35" s="38"/>
      <c r="I35" s="38">
        <v>140</v>
      </c>
      <c r="J35" s="37">
        <f t="shared" si="2"/>
        <v>0.0277777777777778</v>
      </c>
      <c r="K35" s="38"/>
    </row>
    <row r="36" ht="15.6" spans="1:11">
      <c r="A36" s="35" t="s">
        <v>168</v>
      </c>
      <c r="B36" s="36">
        <v>144</v>
      </c>
      <c r="C36" s="24">
        <v>133</v>
      </c>
      <c r="D36" s="37">
        <f t="shared" si="3"/>
        <v>0.0763888888888888</v>
      </c>
      <c r="E36" s="37"/>
      <c r="F36" s="38">
        <v>142</v>
      </c>
      <c r="G36" s="37">
        <f t="shared" si="1"/>
        <v>0.0138888888888888</v>
      </c>
      <c r="H36" s="38"/>
      <c r="I36" s="38">
        <v>138</v>
      </c>
      <c r="J36" s="37">
        <f t="shared" si="2"/>
        <v>0.0416666666666666</v>
      </c>
      <c r="K36" s="38"/>
    </row>
    <row r="37" ht="15.6" spans="1:11">
      <c r="A37" s="35" t="s">
        <v>169</v>
      </c>
      <c r="B37" s="36">
        <v>144</v>
      </c>
      <c r="C37" s="24">
        <v>85</v>
      </c>
      <c r="D37" s="37">
        <f t="shared" si="3"/>
        <v>0.409722222222222</v>
      </c>
      <c r="E37" s="39"/>
      <c r="F37" s="38">
        <v>139</v>
      </c>
      <c r="G37" s="37">
        <f t="shared" si="1"/>
        <v>0.0347222222222222</v>
      </c>
      <c r="H37" s="38"/>
      <c r="I37" s="38">
        <v>137</v>
      </c>
      <c r="J37" s="37">
        <f t="shared" si="2"/>
        <v>0.0486111111111112</v>
      </c>
      <c r="K37" s="38"/>
    </row>
    <row r="38" ht="15.6" spans="1:11">
      <c r="A38" s="35" t="s">
        <v>170</v>
      </c>
      <c r="B38" s="36">
        <v>144</v>
      </c>
      <c r="C38" s="24">
        <v>85</v>
      </c>
      <c r="D38" s="37">
        <f t="shared" si="3"/>
        <v>0.409722222222222</v>
      </c>
      <c r="E38" s="40">
        <f>SUM(C19:C38)</f>
        <v>2267</v>
      </c>
      <c r="F38" s="38">
        <v>134</v>
      </c>
      <c r="G38" s="37">
        <f t="shared" si="1"/>
        <v>0.0694444444444444</v>
      </c>
      <c r="H38" s="40">
        <f>SUM(F19:F38)</f>
        <v>2787</v>
      </c>
      <c r="I38" s="38">
        <v>140</v>
      </c>
      <c r="J38" s="37">
        <f t="shared" si="2"/>
        <v>0.0277777777777778</v>
      </c>
      <c r="K38" s="40">
        <f>SUM(I19:I38)</f>
        <v>2780</v>
      </c>
    </row>
    <row r="39" ht="15.6" spans="1:11">
      <c r="A39" s="35" t="s">
        <v>171</v>
      </c>
      <c r="B39" s="36">
        <v>144</v>
      </c>
      <c r="C39" s="24">
        <v>141</v>
      </c>
      <c r="D39" s="37">
        <f t="shared" si="3"/>
        <v>0.0208333333333334</v>
      </c>
      <c r="E39" s="37"/>
      <c r="F39" s="38">
        <v>140</v>
      </c>
      <c r="G39" s="37">
        <f t="shared" si="1"/>
        <v>0.0277777777777778</v>
      </c>
      <c r="H39" s="38"/>
      <c r="I39" s="38">
        <v>138</v>
      </c>
      <c r="J39" s="37">
        <f t="shared" si="2"/>
        <v>0.0416666666666666</v>
      </c>
      <c r="K39" s="38"/>
    </row>
    <row r="40" ht="15.6" spans="1:11">
      <c r="A40" s="35" t="s">
        <v>172</v>
      </c>
      <c r="B40" s="36">
        <v>144</v>
      </c>
      <c r="C40" s="24">
        <v>142</v>
      </c>
      <c r="D40" s="37">
        <f t="shared" si="3"/>
        <v>0.0138888888888888</v>
      </c>
      <c r="E40" s="37"/>
      <c r="F40" s="38">
        <v>143</v>
      </c>
      <c r="G40" s="37">
        <f t="shared" si="1"/>
        <v>0.00694444444444442</v>
      </c>
      <c r="H40" s="38"/>
      <c r="I40" s="38">
        <v>141</v>
      </c>
      <c r="J40" s="37">
        <f t="shared" si="2"/>
        <v>0.0208333333333334</v>
      </c>
      <c r="K40" s="38"/>
    </row>
    <row r="41" ht="15.6" spans="1:11">
      <c r="A41" s="35" t="s">
        <v>173</v>
      </c>
      <c r="B41" s="36">
        <v>144</v>
      </c>
      <c r="C41" s="24">
        <v>143</v>
      </c>
      <c r="D41" s="37">
        <f t="shared" si="3"/>
        <v>0.00694444444444442</v>
      </c>
      <c r="E41" s="37"/>
      <c r="F41" s="38">
        <v>143</v>
      </c>
      <c r="G41" s="37">
        <f t="shared" si="1"/>
        <v>0.00694444444444442</v>
      </c>
      <c r="H41" s="38"/>
      <c r="I41" s="38">
        <v>141</v>
      </c>
      <c r="J41" s="37">
        <f t="shared" si="2"/>
        <v>0.0208333333333334</v>
      </c>
      <c r="K41" s="38"/>
    </row>
    <row r="42" ht="15.6" spans="1:11">
      <c r="A42" s="35" t="s">
        <v>174</v>
      </c>
      <c r="B42" s="36">
        <v>144</v>
      </c>
      <c r="C42" s="24">
        <v>143</v>
      </c>
      <c r="D42" s="37">
        <f t="shared" si="3"/>
        <v>0.00694444444444442</v>
      </c>
      <c r="E42" s="37"/>
      <c r="F42" s="38">
        <v>143</v>
      </c>
      <c r="G42" s="37">
        <f t="shared" si="1"/>
        <v>0.00694444444444442</v>
      </c>
      <c r="H42" s="38"/>
      <c r="I42" s="38">
        <v>140</v>
      </c>
      <c r="J42" s="37">
        <f t="shared" si="2"/>
        <v>0.0277777777777778</v>
      </c>
      <c r="K42" s="38"/>
    </row>
    <row r="43" ht="15.6" spans="1:11">
      <c r="A43" s="35" t="s">
        <v>175</v>
      </c>
      <c r="B43" s="36">
        <v>144</v>
      </c>
      <c r="C43" s="24">
        <v>133</v>
      </c>
      <c r="D43" s="37">
        <f t="shared" si="3"/>
        <v>0.0763888888888888</v>
      </c>
      <c r="E43" s="37"/>
      <c r="F43" s="38">
        <v>142</v>
      </c>
      <c r="G43" s="37">
        <f t="shared" si="1"/>
        <v>0.0138888888888888</v>
      </c>
      <c r="H43" s="38"/>
      <c r="I43" s="38">
        <v>141</v>
      </c>
      <c r="J43" s="37">
        <f t="shared" si="2"/>
        <v>0.0208333333333334</v>
      </c>
      <c r="K43" s="38"/>
    </row>
    <row r="44" ht="15.6" spans="1:11">
      <c r="A44" s="35" t="s">
        <v>176</v>
      </c>
      <c r="B44" s="36">
        <v>144</v>
      </c>
      <c r="C44" s="24">
        <v>96</v>
      </c>
      <c r="D44" s="37">
        <f t="shared" si="3"/>
        <v>0.333333333333333</v>
      </c>
      <c r="E44" s="39"/>
      <c r="F44" s="38">
        <v>142</v>
      </c>
      <c r="G44" s="37">
        <f t="shared" si="1"/>
        <v>0.0138888888888888</v>
      </c>
      <c r="H44" s="38"/>
      <c r="I44" s="38">
        <v>139</v>
      </c>
      <c r="J44" s="37">
        <f t="shared" si="2"/>
        <v>0.0347222222222222</v>
      </c>
      <c r="K44" s="38"/>
    </row>
    <row r="45" ht="15.6" spans="1:11">
      <c r="A45" s="35" t="s">
        <v>177</v>
      </c>
      <c r="B45" s="36">
        <v>144</v>
      </c>
      <c r="C45" s="24">
        <v>134</v>
      </c>
      <c r="D45" s="37">
        <f t="shared" si="3"/>
        <v>0.0694444444444444</v>
      </c>
      <c r="E45" s="37"/>
      <c r="F45" s="38">
        <v>143</v>
      </c>
      <c r="G45" s="37">
        <f t="shared" si="1"/>
        <v>0.00694444444444442</v>
      </c>
      <c r="H45" s="38"/>
      <c r="I45" s="38">
        <v>141</v>
      </c>
      <c r="J45" s="37">
        <f t="shared" si="2"/>
        <v>0.0208333333333334</v>
      </c>
      <c r="K45" s="38"/>
    </row>
    <row r="46" ht="15.6" spans="1:11">
      <c r="A46" s="35" t="s">
        <v>178</v>
      </c>
      <c r="B46" s="36">
        <v>144</v>
      </c>
      <c r="C46" s="24">
        <v>141</v>
      </c>
      <c r="D46" s="37">
        <f t="shared" si="3"/>
        <v>0.0208333333333334</v>
      </c>
      <c r="E46" s="37"/>
      <c r="F46" s="38">
        <v>143</v>
      </c>
      <c r="G46" s="37">
        <f t="shared" si="1"/>
        <v>0.00694444444444442</v>
      </c>
      <c r="H46" s="38"/>
      <c r="I46" s="38">
        <v>141</v>
      </c>
      <c r="J46" s="37">
        <f t="shared" si="2"/>
        <v>0.0208333333333334</v>
      </c>
      <c r="K46" s="38"/>
    </row>
    <row r="47" ht="15.6" spans="1:11">
      <c r="A47" s="35" t="s">
        <v>179</v>
      </c>
      <c r="B47" s="36">
        <v>144</v>
      </c>
      <c r="C47" s="24">
        <v>139</v>
      </c>
      <c r="D47" s="37">
        <f t="shared" si="3"/>
        <v>0.0347222222222222</v>
      </c>
      <c r="E47" s="37"/>
      <c r="F47" s="38">
        <v>142</v>
      </c>
      <c r="G47" s="37">
        <f t="shared" si="1"/>
        <v>0.0138888888888888</v>
      </c>
      <c r="H47" s="38"/>
      <c r="I47" s="38">
        <v>141</v>
      </c>
      <c r="J47" s="37">
        <f t="shared" si="2"/>
        <v>0.0208333333333334</v>
      </c>
      <c r="K47" s="38"/>
    </row>
    <row r="48" ht="15.6" spans="1:11">
      <c r="A48" s="35" t="s">
        <v>180</v>
      </c>
      <c r="B48" s="36">
        <v>144</v>
      </c>
      <c r="C48" s="24">
        <v>138</v>
      </c>
      <c r="D48" s="37">
        <f t="shared" si="3"/>
        <v>0.0416666666666666</v>
      </c>
      <c r="E48" s="37"/>
      <c r="F48" s="38">
        <v>143</v>
      </c>
      <c r="G48" s="37">
        <f t="shared" si="1"/>
        <v>0.00694444444444442</v>
      </c>
      <c r="H48" s="38"/>
      <c r="I48" s="38">
        <v>140</v>
      </c>
      <c r="J48" s="37">
        <f t="shared" si="2"/>
        <v>0.0277777777777778</v>
      </c>
      <c r="K48" s="38"/>
    </row>
    <row r="49" ht="15.6" spans="1:11">
      <c r="A49" s="35" t="s">
        <v>181</v>
      </c>
      <c r="B49" s="36">
        <v>144</v>
      </c>
      <c r="C49" s="24">
        <v>128</v>
      </c>
      <c r="D49" s="37">
        <f t="shared" si="3"/>
        <v>0.111111111111111</v>
      </c>
      <c r="E49" s="39"/>
      <c r="F49" s="38">
        <v>143</v>
      </c>
      <c r="G49" s="37">
        <f t="shared" si="1"/>
        <v>0.00694444444444442</v>
      </c>
      <c r="H49" s="38"/>
      <c r="I49" s="38">
        <v>141</v>
      </c>
      <c r="J49" s="37">
        <f t="shared" si="2"/>
        <v>0.0208333333333334</v>
      </c>
      <c r="K49" s="38"/>
    </row>
    <row r="50" ht="15.6" spans="1:11">
      <c r="A50" s="35" t="s">
        <v>182</v>
      </c>
      <c r="B50" s="36">
        <v>144</v>
      </c>
      <c r="C50" s="24">
        <v>141</v>
      </c>
      <c r="D50" s="37">
        <f t="shared" si="3"/>
        <v>0.0208333333333334</v>
      </c>
      <c r="E50" s="37"/>
      <c r="F50" s="38">
        <v>143</v>
      </c>
      <c r="G50" s="37">
        <f t="shared" si="1"/>
        <v>0.00694444444444442</v>
      </c>
      <c r="H50" s="38"/>
      <c r="I50" s="38">
        <v>140</v>
      </c>
      <c r="J50" s="37">
        <f t="shared" si="2"/>
        <v>0.0277777777777778</v>
      </c>
      <c r="K50" s="38"/>
    </row>
    <row r="51" ht="15.6" spans="1:11">
      <c r="A51" s="35" t="s">
        <v>183</v>
      </c>
      <c r="B51" s="36">
        <v>144</v>
      </c>
      <c r="C51" s="24">
        <v>141</v>
      </c>
      <c r="D51" s="37">
        <f t="shared" si="3"/>
        <v>0.0208333333333334</v>
      </c>
      <c r="E51" s="37"/>
      <c r="F51" s="38">
        <v>142</v>
      </c>
      <c r="G51" s="37">
        <f t="shared" si="1"/>
        <v>0.0138888888888888</v>
      </c>
      <c r="H51" s="38"/>
      <c r="I51" s="38">
        <v>139</v>
      </c>
      <c r="J51" s="37">
        <f t="shared" si="2"/>
        <v>0.0347222222222222</v>
      </c>
      <c r="K51" s="38"/>
    </row>
    <row r="52" ht="15.6" spans="1:11">
      <c r="A52" s="35" t="s">
        <v>184</v>
      </c>
      <c r="B52" s="36">
        <v>144</v>
      </c>
      <c r="C52" s="24">
        <v>87</v>
      </c>
      <c r="D52" s="37">
        <f t="shared" si="3"/>
        <v>0.395833333333333</v>
      </c>
      <c r="E52" s="39"/>
      <c r="F52" s="38">
        <v>142</v>
      </c>
      <c r="G52" s="37">
        <f t="shared" si="1"/>
        <v>0.0138888888888888</v>
      </c>
      <c r="H52" s="38"/>
      <c r="I52" s="38">
        <v>140</v>
      </c>
      <c r="J52" s="37">
        <f t="shared" si="2"/>
        <v>0.0277777777777778</v>
      </c>
      <c r="K52" s="38"/>
    </row>
    <row r="53" ht="15.6" spans="1:11">
      <c r="A53" s="35" t="s">
        <v>185</v>
      </c>
      <c r="B53" s="36">
        <v>144</v>
      </c>
      <c r="C53" s="24">
        <v>140</v>
      </c>
      <c r="D53" s="37">
        <f t="shared" si="3"/>
        <v>0.0277777777777778</v>
      </c>
      <c r="E53" s="37"/>
      <c r="F53" s="38">
        <v>133</v>
      </c>
      <c r="G53" s="37">
        <f t="shared" si="1"/>
        <v>0.0763888888888888</v>
      </c>
      <c r="H53" s="38"/>
      <c r="I53" s="38">
        <v>139</v>
      </c>
      <c r="J53" s="37">
        <f t="shared" si="2"/>
        <v>0.0347222222222222</v>
      </c>
      <c r="K53" s="38"/>
    </row>
    <row r="54" ht="15.6" spans="1:11">
      <c r="A54" s="35" t="s">
        <v>186</v>
      </c>
      <c r="B54" s="36">
        <v>144</v>
      </c>
      <c r="C54" s="24">
        <v>79</v>
      </c>
      <c r="D54" s="37">
        <f t="shared" si="3"/>
        <v>0.451388888888889</v>
      </c>
      <c r="E54" s="39"/>
      <c r="F54" s="38">
        <v>142</v>
      </c>
      <c r="G54" s="37">
        <f t="shared" si="1"/>
        <v>0.0138888888888888</v>
      </c>
      <c r="H54" s="38"/>
      <c r="I54" s="38">
        <v>134</v>
      </c>
      <c r="J54" s="37">
        <f t="shared" si="2"/>
        <v>0.0694444444444444</v>
      </c>
      <c r="K54" s="38"/>
    </row>
    <row r="55" ht="15.6" spans="1:11">
      <c r="A55" s="35" t="s">
        <v>187</v>
      </c>
      <c r="B55" s="36">
        <v>144</v>
      </c>
      <c r="C55" s="24">
        <v>86</v>
      </c>
      <c r="D55" s="37">
        <f t="shared" si="3"/>
        <v>0.402777777777778</v>
      </c>
      <c r="E55" s="39"/>
      <c r="F55" s="38">
        <v>140</v>
      </c>
      <c r="G55" s="37">
        <f t="shared" si="1"/>
        <v>0.0277777777777778</v>
      </c>
      <c r="H55" s="38"/>
      <c r="I55" s="38">
        <v>140</v>
      </c>
      <c r="J55" s="37">
        <f t="shared" si="2"/>
        <v>0.0277777777777778</v>
      </c>
      <c r="K55" s="38"/>
    </row>
    <row r="56" ht="15.6" spans="1:11">
      <c r="A56" s="35" t="s">
        <v>188</v>
      </c>
      <c r="B56" s="36">
        <v>144</v>
      </c>
      <c r="C56" s="24">
        <v>84</v>
      </c>
      <c r="D56" s="37">
        <f t="shared" si="3"/>
        <v>0.416666666666667</v>
      </c>
      <c r="E56" s="39"/>
      <c r="F56" s="38">
        <v>138</v>
      </c>
      <c r="G56" s="37">
        <f t="shared" si="1"/>
        <v>0.0416666666666666</v>
      </c>
      <c r="H56" s="38"/>
      <c r="I56" s="38">
        <v>94</v>
      </c>
      <c r="J56" s="37">
        <f t="shared" si="2"/>
        <v>0.347222222222222</v>
      </c>
      <c r="K56" s="38"/>
    </row>
    <row r="57" ht="15.6" spans="1:11">
      <c r="A57" s="35" t="s">
        <v>189</v>
      </c>
      <c r="B57" s="36">
        <v>144</v>
      </c>
      <c r="C57" s="24">
        <v>85</v>
      </c>
      <c r="D57" s="37">
        <f t="shared" si="3"/>
        <v>0.409722222222222</v>
      </c>
      <c r="E57" s="39"/>
      <c r="F57" s="38">
        <v>142</v>
      </c>
      <c r="G57" s="37">
        <f t="shared" si="1"/>
        <v>0.0138888888888888</v>
      </c>
      <c r="H57" s="38"/>
      <c r="I57" s="38">
        <v>139</v>
      </c>
      <c r="J57" s="37">
        <f t="shared" si="2"/>
        <v>0.0347222222222222</v>
      </c>
      <c r="K57" s="38"/>
    </row>
    <row r="58" ht="15.6" spans="1:11">
      <c r="A58" s="35" t="s">
        <v>190</v>
      </c>
      <c r="B58" s="36">
        <v>144</v>
      </c>
      <c r="C58" s="24">
        <v>134</v>
      </c>
      <c r="D58" s="37">
        <f t="shared" si="3"/>
        <v>0.0694444444444444</v>
      </c>
      <c r="E58" s="40">
        <f>SUM(C39:C58)</f>
        <v>2455</v>
      </c>
      <c r="F58" s="38">
        <v>142</v>
      </c>
      <c r="G58" s="37">
        <f t="shared" si="1"/>
        <v>0.0138888888888888</v>
      </c>
      <c r="H58" s="40">
        <f>SUM(F39:F58)</f>
        <v>2831</v>
      </c>
      <c r="I58" s="38">
        <v>140</v>
      </c>
      <c r="J58" s="37">
        <f t="shared" si="2"/>
        <v>0.0277777777777778</v>
      </c>
      <c r="K58" s="40">
        <f>SUM(I39:I58)</f>
        <v>2749</v>
      </c>
    </row>
    <row r="59" ht="15.6" spans="1:11">
      <c r="A59" s="35" t="s">
        <v>191</v>
      </c>
      <c r="B59" s="36">
        <v>144</v>
      </c>
      <c r="C59" s="24">
        <v>91</v>
      </c>
      <c r="D59" s="37">
        <f t="shared" si="3"/>
        <v>0.368055555555556</v>
      </c>
      <c r="E59" s="39"/>
      <c r="F59" s="38">
        <v>140</v>
      </c>
      <c r="G59" s="37">
        <f t="shared" si="1"/>
        <v>0.0277777777777778</v>
      </c>
      <c r="H59" s="38"/>
      <c r="I59" s="38">
        <v>133</v>
      </c>
      <c r="J59" s="37">
        <f t="shared" si="2"/>
        <v>0.0763888888888888</v>
      </c>
      <c r="K59" s="38"/>
    </row>
    <row r="60" ht="15.6" spans="1:11">
      <c r="A60" s="35" t="s">
        <v>192</v>
      </c>
      <c r="B60" s="36">
        <v>144</v>
      </c>
      <c r="C60" s="24">
        <v>142</v>
      </c>
      <c r="D60" s="37">
        <f t="shared" si="3"/>
        <v>0.0138888888888888</v>
      </c>
      <c r="E60" s="37"/>
      <c r="F60" s="38">
        <v>143</v>
      </c>
      <c r="G60" s="37">
        <f t="shared" si="1"/>
        <v>0.00694444444444442</v>
      </c>
      <c r="H60" s="38"/>
      <c r="I60" s="38">
        <v>140</v>
      </c>
      <c r="J60" s="37">
        <f t="shared" si="2"/>
        <v>0.0277777777777778</v>
      </c>
      <c r="K60" s="38"/>
    </row>
    <row r="61" ht="15.6" spans="1:11">
      <c r="A61" s="35" t="s">
        <v>193</v>
      </c>
      <c r="B61" s="36">
        <v>144</v>
      </c>
      <c r="C61" s="24">
        <v>141</v>
      </c>
      <c r="D61" s="37">
        <f t="shared" si="3"/>
        <v>0.0208333333333334</v>
      </c>
      <c r="E61" s="37"/>
      <c r="F61" s="38">
        <v>143</v>
      </c>
      <c r="G61" s="37">
        <f t="shared" si="1"/>
        <v>0.00694444444444442</v>
      </c>
      <c r="H61" s="38"/>
      <c r="I61" s="38">
        <v>141</v>
      </c>
      <c r="J61" s="37">
        <f t="shared" si="2"/>
        <v>0.0208333333333334</v>
      </c>
      <c r="K61" s="38"/>
    </row>
    <row r="62" ht="15.6" spans="1:11">
      <c r="A62" s="35" t="s">
        <v>194</v>
      </c>
      <c r="B62" s="36">
        <v>144</v>
      </c>
      <c r="C62" s="24">
        <v>133</v>
      </c>
      <c r="D62" s="37">
        <f t="shared" si="3"/>
        <v>0.0763888888888888</v>
      </c>
      <c r="E62" s="37"/>
      <c r="F62" s="38">
        <v>103</v>
      </c>
      <c r="G62" s="37">
        <f t="shared" si="1"/>
        <v>0.284722222222222</v>
      </c>
      <c r="H62" s="38"/>
      <c r="I62" s="38">
        <v>119</v>
      </c>
      <c r="J62" s="37">
        <f t="shared" si="2"/>
        <v>0.173611111111111</v>
      </c>
      <c r="K62" s="38"/>
    </row>
    <row r="63" ht="15.6" spans="1:11">
      <c r="A63" s="35" t="s">
        <v>195</v>
      </c>
      <c r="B63" s="36">
        <v>144</v>
      </c>
      <c r="C63" s="24">
        <v>94</v>
      </c>
      <c r="D63" s="37">
        <f t="shared" si="3"/>
        <v>0.347222222222222</v>
      </c>
      <c r="E63" s="39"/>
      <c r="F63" s="38">
        <v>126</v>
      </c>
      <c r="G63" s="37">
        <f t="shared" si="1"/>
        <v>0.125</v>
      </c>
      <c r="H63" s="38"/>
      <c r="I63" s="38">
        <v>129</v>
      </c>
      <c r="J63" s="37">
        <f t="shared" si="2"/>
        <v>0.104166666666667</v>
      </c>
      <c r="K63" s="38"/>
    </row>
    <row r="64" ht="15.6" spans="1:11">
      <c r="A64" s="35" t="s">
        <v>196</v>
      </c>
      <c r="B64" s="36">
        <v>144</v>
      </c>
      <c r="C64" s="24">
        <v>102</v>
      </c>
      <c r="D64" s="37">
        <f t="shared" si="3"/>
        <v>0.291666666666667</v>
      </c>
      <c r="E64" s="39"/>
      <c r="F64" s="38">
        <v>140</v>
      </c>
      <c r="G64" s="37">
        <f t="shared" si="1"/>
        <v>0.0277777777777778</v>
      </c>
      <c r="H64" s="38"/>
      <c r="I64" s="38">
        <v>121</v>
      </c>
      <c r="J64" s="37">
        <f t="shared" si="2"/>
        <v>0.159722222222222</v>
      </c>
      <c r="K64" s="38"/>
    </row>
    <row r="65" ht="15.6" spans="1:11">
      <c r="A65" s="35" t="s">
        <v>197</v>
      </c>
      <c r="B65" s="36">
        <v>144</v>
      </c>
      <c r="C65" s="24">
        <v>113</v>
      </c>
      <c r="D65" s="37">
        <f t="shared" si="3"/>
        <v>0.215277777777778</v>
      </c>
      <c r="E65" s="39"/>
      <c r="F65" s="38">
        <v>143</v>
      </c>
      <c r="G65" s="37">
        <f t="shared" si="1"/>
        <v>0.00694444444444442</v>
      </c>
      <c r="H65" s="38"/>
      <c r="I65" s="38">
        <v>139</v>
      </c>
      <c r="J65" s="37">
        <f t="shared" si="2"/>
        <v>0.0347222222222222</v>
      </c>
      <c r="K65" s="38"/>
    </row>
    <row r="66" ht="15.6" spans="1:11">
      <c r="A66" s="35" t="s">
        <v>198</v>
      </c>
      <c r="B66" s="36">
        <v>144</v>
      </c>
      <c r="C66" s="24">
        <v>124</v>
      </c>
      <c r="D66" s="37">
        <f t="shared" si="3"/>
        <v>0.138888888888889</v>
      </c>
      <c r="E66" s="39"/>
      <c r="F66" s="38">
        <v>142</v>
      </c>
      <c r="G66" s="37">
        <f t="shared" si="1"/>
        <v>0.0138888888888888</v>
      </c>
      <c r="H66" s="38"/>
      <c r="I66" s="38">
        <v>102</v>
      </c>
      <c r="J66" s="37">
        <f t="shared" si="2"/>
        <v>0.291666666666667</v>
      </c>
      <c r="K66" s="38"/>
    </row>
    <row r="67" ht="15.6" spans="1:11">
      <c r="A67" s="35" t="s">
        <v>199</v>
      </c>
      <c r="B67" s="36">
        <v>144</v>
      </c>
      <c r="C67" s="24">
        <v>104</v>
      </c>
      <c r="D67" s="37">
        <f t="shared" ref="D67:D98" si="4">1-C67/B67</f>
        <v>0.277777777777778</v>
      </c>
      <c r="E67" s="39"/>
      <c r="F67" s="38">
        <v>105</v>
      </c>
      <c r="G67" s="37">
        <f t="shared" si="1"/>
        <v>0.270833333333333</v>
      </c>
      <c r="H67" s="38"/>
      <c r="I67" s="38">
        <v>115</v>
      </c>
      <c r="J67" s="37">
        <f t="shared" si="2"/>
        <v>0.201388888888889</v>
      </c>
      <c r="K67" s="38"/>
    </row>
    <row r="68" ht="15.6" spans="1:11">
      <c r="A68" s="35" t="s">
        <v>200</v>
      </c>
      <c r="B68" s="36">
        <v>144</v>
      </c>
      <c r="C68" s="24">
        <v>143</v>
      </c>
      <c r="D68" s="37">
        <f t="shared" si="4"/>
        <v>0.00694444444444442</v>
      </c>
      <c r="E68" s="37"/>
      <c r="F68" s="38">
        <v>143</v>
      </c>
      <c r="G68" s="37">
        <f t="shared" ref="G68:G131" si="5">1-F68/B68</f>
        <v>0.00694444444444442</v>
      </c>
      <c r="H68" s="38"/>
      <c r="I68" s="38">
        <v>139</v>
      </c>
      <c r="J68" s="37">
        <f t="shared" ref="J68:J131" si="6">1-I68/B68</f>
        <v>0.0347222222222222</v>
      </c>
      <c r="K68" s="38"/>
    </row>
    <row r="69" ht="15.6" spans="1:11">
      <c r="A69" s="35" t="s">
        <v>201</v>
      </c>
      <c r="B69" s="36">
        <v>144</v>
      </c>
      <c r="C69" s="24">
        <v>105</v>
      </c>
      <c r="D69" s="37">
        <f t="shared" si="4"/>
        <v>0.270833333333333</v>
      </c>
      <c r="E69" s="39"/>
      <c r="F69" s="38">
        <v>142</v>
      </c>
      <c r="G69" s="37">
        <f t="shared" si="5"/>
        <v>0.0138888888888888</v>
      </c>
      <c r="H69" s="38"/>
      <c r="I69" s="38">
        <v>141</v>
      </c>
      <c r="J69" s="37">
        <f t="shared" si="6"/>
        <v>0.0208333333333334</v>
      </c>
      <c r="K69" s="38"/>
    </row>
    <row r="70" ht="15.6" spans="1:11">
      <c r="A70" s="35" t="s">
        <v>202</v>
      </c>
      <c r="B70" s="36">
        <v>144</v>
      </c>
      <c r="C70" s="24">
        <v>140</v>
      </c>
      <c r="D70" s="37">
        <f t="shared" si="4"/>
        <v>0.0277777777777778</v>
      </c>
      <c r="E70" s="37"/>
      <c r="F70" s="38">
        <v>142</v>
      </c>
      <c r="G70" s="37">
        <f t="shared" si="5"/>
        <v>0.0138888888888888</v>
      </c>
      <c r="H70" s="38"/>
      <c r="I70" s="38">
        <v>139</v>
      </c>
      <c r="J70" s="37">
        <f t="shared" si="6"/>
        <v>0.0347222222222222</v>
      </c>
      <c r="K70" s="38"/>
    </row>
    <row r="71" ht="15.6" spans="1:11">
      <c r="A71" s="35" t="s">
        <v>203</v>
      </c>
      <c r="B71" s="36">
        <v>144</v>
      </c>
      <c r="C71" s="24">
        <v>142</v>
      </c>
      <c r="D71" s="37">
        <f t="shared" si="4"/>
        <v>0.0138888888888888</v>
      </c>
      <c r="E71" s="37"/>
      <c r="F71" s="38">
        <v>142</v>
      </c>
      <c r="G71" s="37">
        <f t="shared" si="5"/>
        <v>0.0138888888888888</v>
      </c>
      <c r="H71" s="38"/>
      <c r="I71" s="38">
        <v>138</v>
      </c>
      <c r="J71" s="37">
        <f t="shared" si="6"/>
        <v>0.0416666666666666</v>
      </c>
      <c r="K71" s="38"/>
    </row>
    <row r="72" ht="15.6" spans="1:11">
      <c r="A72" s="35" t="s">
        <v>204</v>
      </c>
      <c r="B72" s="36">
        <v>144</v>
      </c>
      <c r="C72" s="24">
        <v>88</v>
      </c>
      <c r="D72" s="37">
        <f t="shared" si="4"/>
        <v>0.388888888888889</v>
      </c>
      <c r="E72" s="39"/>
      <c r="F72" s="38">
        <v>142</v>
      </c>
      <c r="G72" s="37">
        <f t="shared" si="5"/>
        <v>0.0138888888888888</v>
      </c>
      <c r="H72" s="38"/>
      <c r="I72" s="38">
        <v>140</v>
      </c>
      <c r="J72" s="37">
        <f t="shared" si="6"/>
        <v>0.0277777777777778</v>
      </c>
      <c r="K72" s="38"/>
    </row>
    <row r="73" ht="15.6" spans="1:11">
      <c r="A73" s="35" t="s">
        <v>205</v>
      </c>
      <c r="B73" s="36">
        <v>144</v>
      </c>
      <c r="C73" s="24">
        <v>134</v>
      </c>
      <c r="D73" s="37">
        <f t="shared" si="4"/>
        <v>0.0694444444444444</v>
      </c>
      <c r="E73" s="37"/>
      <c r="F73" s="38">
        <v>142</v>
      </c>
      <c r="G73" s="37">
        <f t="shared" si="5"/>
        <v>0.0138888888888888</v>
      </c>
      <c r="H73" s="38"/>
      <c r="I73" s="38">
        <v>135</v>
      </c>
      <c r="J73" s="37">
        <f t="shared" si="6"/>
        <v>0.0625</v>
      </c>
      <c r="K73" s="38"/>
    </row>
    <row r="74" ht="15.6" spans="1:11">
      <c r="A74" s="35" t="s">
        <v>206</v>
      </c>
      <c r="B74" s="36">
        <v>144</v>
      </c>
      <c r="C74" s="24">
        <v>89</v>
      </c>
      <c r="D74" s="37">
        <f t="shared" si="4"/>
        <v>0.381944444444444</v>
      </c>
      <c r="E74" s="39"/>
      <c r="F74" s="38">
        <v>141</v>
      </c>
      <c r="G74" s="37">
        <f t="shared" si="5"/>
        <v>0.0208333333333334</v>
      </c>
      <c r="H74" s="38"/>
      <c r="I74" s="38">
        <v>134</v>
      </c>
      <c r="J74" s="37">
        <f t="shared" si="6"/>
        <v>0.0694444444444444</v>
      </c>
      <c r="K74" s="38"/>
    </row>
    <row r="75" ht="15.6" spans="1:11">
      <c r="A75" s="35" t="s">
        <v>207</v>
      </c>
      <c r="B75" s="36">
        <v>144</v>
      </c>
      <c r="C75" s="24">
        <v>94</v>
      </c>
      <c r="D75" s="37">
        <f t="shared" si="4"/>
        <v>0.347222222222222</v>
      </c>
      <c r="E75" s="39"/>
      <c r="F75" s="38">
        <v>141</v>
      </c>
      <c r="G75" s="37">
        <f t="shared" si="5"/>
        <v>0.0208333333333334</v>
      </c>
      <c r="H75" s="38"/>
      <c r="I75" s="38">
        <v>133</v>
      </c>
      <c r="J75" s="37">
        <f t="shared" si="6"/>
        <v>0.0763888888888888</v>
      </c>
      <c r="K75" s="38"/>
    </row>
    <row r="76" ht="15.6" spans="1:11">
      <c r="A76" s="35" t="s">
        <v>208</v>
      </c>
      <c r="B76" s="36">
        <v>144</v>
      </c>
      <c r="C76" s="24">
        <v>137</v>
      </c>
      <c r="D76" s="37">
        <f t="shared" si="4"/>
        <v>0.0486111111111112</v>
      </c>
      <c r="E76" s="37"/>
      <c r="F76" s="38">
        <v>142</v>
      </c>
      <c r="G76" s="37">
        <f t="shared" si="5"/>
        <v>0.0138888888888888</v>
      </c>
      <c r="H76" s="38"/>
      <c r="I76" s="38">
        <v>140</v>
      </c>
      <c r="J76" s="37">
        <f t="shared" si="6"/>
        <v>0.0277777777777778</v>
      </c>
      <c r="K76" s="38"/>
    </row>
    <row r="77" ht="15.6" spans="1:11">
      <c r="A77" s="35" t="s">
        <v>209</v>
      </c>
      <c r="B77" s="36">
        <v>144</v>
      </c>
      <c r="C77" s="24">
        <v>141</v>
      </c>
      <c r="D77" s="37">
        <f t="shared" si="4"/>
        <v>0.0208333333333334</v>
      </c>
      <c r="E77" s="37"/>
      <c r="F77" s="38">
        <v>142</v>
      </c>
      <c r="G77" s="37">
        <f t="shared" si="5"/>
        <v>0.0138888888888888</v>
      </c>
      <c r="H77" s="38"/>
      <c r="I77" s="38">
        <v>139</v>
      </c>
      <c r="J77" s="37">
        <f t="shared" si="6"/>
        <v>0.0347222222222222</v>
      </c>
      <c r="K77" s="38"/>
    </row>
    <row r="78" ht="15.6" spans="1:11">
      <c r="A78" s="35" t="s">
        <v>210</v>
      </c>
      <c r="B78" s="36">
        <v>144</v>
      </c>
      <c r="C78" s="24">
        <v>84</v>
      </c>
      <c r="D78" s="37">
        <f t="shared" si="4"/>
        <v>0.416666666666667</v>
      </c>
      <c r="E78" s="40">
        <f>SUM(C59:C78)</f>
        <v>2341</v>
      </c>
      <c r="F78" s="38">
        <v>134</v>
      </c>
      <c r="G78" s="37">
        <f t="shared" si="5"/>
        <v>0.0694444444444444</v>
      </c>
      <c r="H78" s="40">
        <f>SUM(F59:F78)</f>
        <v>2738</v>
      </c>
      <c r="I78" s="38">
        <v>132</v>
      </c>
      <c r="J78" s="37">
        <f t="shared" si="6"/>
        <v>0.0833333333333334</v>
      </c>
      <c r="K78" s="40">
        <f>SUM(I59:I78)</f>
        <v>2649</v>
      </c>
    </row>
    <row r="79" ht="15.6" spans="1:11">
      <c r="A79" s="35" t="s">
        <v>211</v>
      </c>
      <c r="B79" s="36">
        <v>144</v>
      </c>
      <c r="C79" s="24">
        <v>140</v>
      </c>
      <c r="D79" s="37">
        <f t="shared" si="4"/>
        <v>0.0277777777777778</v>
      </c>
      <c r="E79" s="37"/>
      <c r="F79" s="38">
        <v>141</v>
      </c>
      <c r="G79" s="37">
        <f t="shared" si="5"/>
        <v>0.0208333333333334</v>
      </c>
      <c r="H79" s="38"/>
      <c r="I79" s="38">
        <v>139</v>
      </c>
      <c r="J79" s="37">
        <f t="shared" si="6"/>
        <v>0.0347222222222222</v>
      </c>
      <c r="K79" s="38"/>
    </row>
    <row r="80" ht="15.6" spans="1:11">
      <c r="A80" s="35" t="s">
        <v>212</v>
      </c>
      <c r="B80" s="36">
        <v>144</v>
      </c>
      <c r="C80" s="24">
        <v>141</v>
      </c>
      <c r="D80" s="37">
        <f t="shared" si="4"/>
        <v>0.0208333333333334</v>
      </c>
      <c r="E80" s="37"/>
      <c r="F80" s="38">
        <v>143</v>
      </c>
      <c r="G80" s="37">
        <f t="shared" si="5"/>
        <v>0.00694444444444442</v>
      </c>
      <c r="H80" s="38"/>
      <c r="I80" s="38">
        <v>140</v>
      </c>
      <c r="J80" s="37">
        <f t="shared" si="6"/>
        <v>0.0277777777777778</v>
      </c>
      <c r="K80" s="38"/>
    </row>
    <row r="81" ht="15.6" spans="1:11">
      <c r="A81" s="35" t="s">
        <v>213</v>
      </c>
      <c r="B81" s="36">
        <v>144</v>
      </c>
      <c r="C81" s="24">
        <v>102</v>
      </c>
      <c r="D81" s="37">
        <f t="shared" si="4"/>
        <v>0.291666666666667</v>
      </c>
      <c r="E81" s="39"/>
      <c r="F81" s="38">
        <v>142</v>
      </c>
      <c r="G81" s="37">
        <f t="shared" si="5"/>
        <v>0.0138888888888888</v>
      </c>
      <c r="H81" s="38"/>
      <c r="I81" s="38">
        <v>90</v>
      </c>
      <c r="J81" s="37">
        <f t="shared" si="6"/>
        <v>0.375</v>
      </c>
      <c r="K81" s="38"/>
    </row>
    <row r="82" ht="15.6" spans="1:11">
      <c r="A82" s="35" t="s">
        <v>214</v>
      </c>
      <c r="B82" s="36">
        <v>144</v>
      </c>
      <c r="C82" s="24">
        <v>104</v>
      </c>
      <c r="D82" s="37">
        <f t="shared" si="4"/>
        <v>0.277777777777778</v>
      </c>
      <c r="E82" s="39"/>
      <c r="F82" s="38">
        <v>143</v>
      </c>
      <c r="G82" s="37">
        <f t="shared" si="5"/>
        <v>0.00694444444444442</v>
      </c>
      <c r="H82" s="38"/>
      <c r="I82" s="38">
        <v>140</v>
      </c>
      <c r="J82" s="37">
        <f t="shared" si="6"/>
        <v>0.0277777777777778</v>
      </c>
      <c r="K82" s="38"/>
    </row>
    <row r="83" ht="15.6" spans="1:11">
      <c r="A83" s="35" t="s">
        <v>215</v>
      </c>
      <c r="B83" s="36">
        <v>144</v>
      </c>
      <c r="C83" s="24">
        <v>142</v>
      </c>
      <c r="D83" s="37">
        <f t="shared" si="4"/>
        <v>0.0138888888888888</v>
      </c>
      <c r="E83" s="37"/>
      <c r="F83" s="38">
        <v>142</v>
      </c>
      <c r="G83" s="37">
        <f t="shared" si="5"/>
        <v>0.0138888888888888</v>
      </c>
      <c r="H83" s="38"/>
      <c r="I83" s="38">
        <v>142</v>
      </c>
      <c r="J83" s="37">
        <f t="shared" si="6"/>
        <v>0.0138888888888888</v>
      </c>
      <c r="K83" s="38"/>
    </row>
    <row r="84" ht="15.6" spans="1:11">
      <c r="A84" s="35" t="s">
        <v>216</v>
      </c>
      <c r="B84" s="36">
        <v>144</v>
      </c>
      <c r="C84" s="24">
        <v>143</v>
      </c>
      <c r="D84" s="37">
        <f t="shared" si="4"/>
        <v>0.00694444444444442</v>
      </c>
      <c r="E84" s="37"/>
      <c r="F84" s="38">
        <v>143</v>
      </c>
      <c r="G84" s="37">
        <f t="shared" si="5"/>
        <v>0.00694444444444442</v>
      </c>
      <c r="H84" s="38"/>
      <c r="I84" s="38">
        <v>141</v>
      </c>
      <c r="J84" s="37">
        <f t="shared" si="6"/>
        <v>0.0208333333333334</v>
      </c>
      <c r="K84" s="38"/>
    </row>
    <row r="85" ht="15.6" spans="1:11">
      <c r="A85" s="35" t="s">
        <v>217</v>
      </c>
      <c r="B85" s="36">
        <v>144</v>
      </c>
      <c r="C85" s="24">
        <v>142</v>
      </c>
      <c r="D85" s="37">
        <f t="shared" si="4"/>
        <v>0.0138888888888888</v>
      </c>
      <c r="E85" s="37"/>
      <c r="F85" s="38">
        <v>143</v>
      </c>
      <c r="G85" s="37">
        <f t="shared" si="5"/>
        <v>0.00694444444444442</v>
      </c>
      <c r="H85" s="38"/>
      <c r="I85" s="38">
        <v>141</v>
      </c>
      <c r="J85" s="37">
        <f t="shared" si="6"/>
        <v>0.0208333333333334</v>
      </c>
      <c r="K85" s="38"/>
    </row>
    <row r="86" ht="15.6" spans="1:11">
      <c r="A86" s="35" t="s">
        <v>218</v>
      </c>
      <c r="B86" s="36">
        <v>144</v>
      </c>
      <c r="C86" s="24">
        <v>132</v>
      </c>
      <c r="D86" s="37">
        <f t="shared" si="4"/>
        <v>0.0833333333333334</v>
      </c>
      <c r="E86" s="37"/>
      <c r="F86" s="38">
        <v>140</v>
      </c>
      <c r="G86" s="37">
        <f t="shared" si="5"/>
        <v>0.0277777777777778</v>
      </c>
      <c r="H86" s="38"/>
      <c r="I86" s="38">
        <v>142</v>
      </c>
      <c r="J86" s="37">
        <f t="shared" si="6"/>
        <v>0.0138888888888888</v>
      </c>
      <c r="K86" s="38"/>
    </row>
    <row r="87" ht="15.6" spans="1:11">
      <c r="A87" s="35" t="s">
        <v>219</v>
      </c>
      <c r="B87" s="36">
        <v>144</v>
      </c>
      <c r="C87" s="24">
        <v>88</v>
      </c>
      <c r="D87" s="37">
        <f t="shared" si="4"/>
        <v>0.388888888888889</v>
      </c>
      <c r="E87" s="39"/>
      <c r="F87" s="38">
        <v>143</v>
      </c>
      <c r="G87" s="37">
        <f t="shared" si="5"/>
        <v>0.00694444444444442</v>
      </c>
      <c r="H87" s="38"/>
      <c r="I87" s="38">
        <v>141</v>
      </c>
      <c r="J87" s="37">
        <f t="shared" si="6"/>
        <v>0.0208333333333334</v>
      </c>
      <c r="K87" s="38"/>
    </row>
    <row r="88" ht="15.6" spans="1:11">
      <c r="A88" s="35" t="s">
        <v>220</v>
      </c>
      <c r="B88" s="36">
        <v>144</v>
      </c>
      <c r="C88" s="24">
        <v>143</v>
      </c>
      <c r="D88" s="37">
        <f t="shared" si="4"/>
        <v>0.00694444444444442</v>
      </c>
      <c r="E88" s="37"/>
      <c r="F88" s="38">
        <v>142</v>
      </c>
      <c r="G88" s="37">
        <f t="shared" si="5"/>
        <v>0.0138888888888888</v>
      </c>
      <c r="H88" s="38"/>
      <c r="I88" s="38">
        <v>141</v>
      </c>
      <c r="J88" s="37">
        <f t="shared" si="6"/>
        <v>0.0208333333333334</v>
      </c>
      <c r="K88" s="38"/>
    </row>
    <row r="89" ht="15.6" spans="1:11">
      <c r="A89" s="35" t="s">
        <v>221</v>
      </c>
      <c r="B89" s="36">
        <v>144</v>
      </c>
      <c r="C89" s="24">
        <v>140</v>
      </c>
      <c r="D89" s="37">
        <f t="shared" si="4"/>
        <v>0.0277777777777778</v>
      </c>
      <c r="E89" s="37"/>
      <c r="F89" s="38">
        <v>143</v>
      </c>
      <c r="G89" s="37">
        <f t="shared" si="5"/>
        <v>0.00694444444444442</v>
      </c>
      <c r="H89" s="38"/>
      <c r="I89" s="38">
        <v>139</v>
      </c>
      <c r="J89" s="37">
        <f t="shared" si="6"/>
        <v>0.0347222222222222</v>
      </c>
      <c r="K89" s="38"/>
    </row>
    <row r="90" ht="15.6" spans="1:11">
      <c r="A90" s="35" t="s">
        <v>222</v>
      </c>
      <c r="B90" s="36">
        <v>144</v>
      </c>
      <c r="C90" s="24">
        <v>142</v>
      </c>
      <c r="D90" s="37">
        <f t="shared" si="4"/>
        <v>0.0138888888888888</v>
      </c>
      <c r="E90" s="37"/>
      <c r="F90" s="38">
        <v>142</v>
      </c>
      <c r="G90" s="37">
        <f t="shared" si="5"/>
        <v>0.0138888888888888</v>
      </c>
      <c r="H90" s="38"/>
      <c r="I90" s="38">
        <v>140</v>
      </c>
      <c r="J90" s="37">
        <f t="shared" si="6"/>
        <v>0.0277777777777778</v>
      </c>
      <c r="K90" s="38"/>
    </row>
    <row r="91" ht="15.6" spans="1:11">
      <c r="A91" s="35" t="s">
        <v>223</v>
      </c>
      <c r="B91" s="36">
        <v>144</v>
      </c>
      <c r="C91" s="24">
        <v>142</v>
      </c>
      <c r="D91" s="37">
        <f t="shared" si="4"/>
        <v>0.0138888888888888</v>
      </c>
      <c r="E91" s="37"/>
      <c r="F91" s="38">
        <v>142</v>
      </c>
      <c r="G91" s="37">
        <f t="shared" si="5"/>
        <v>0.0138888888888888</v>
      </c>
      <c r="H91" s="38"/>
      <c r="I91" s="38">
        <v>140</v>
      </c>
      <c r="J91" s="37">
        <f t="shared" si="6"/>
        <v>0.0277777777777778</v>
      </c>
      <c r="K91" s="38"/>
    </row>
    <row r="92" ht="15.6" spans="1:11">
      <c r="A92" s="35" t="s">
        <v>224</v>
      </c>
      <c r="B92" s="36">
        <v>144</v>
      </c>
      <c r="C92" s="24">
        <v>139</v>
      </c>
      <c r="D92" s="37">
        <f t="shared" si="4"/>
        <v>0.0347222222222222</v>
      </c>
      <c r="E92" s="37"/>
      <c r="F92" s="38">
        <v>142</v>
      </c>
      <c r="G92" s="37">
        <f t="shared" si="5"/>
        <v>0.0138888888888888</v>
      </c>
      <c r="H92" s="38"/>
      <c r="I92" s="38">
        <v>140</v>
      </c>
      <c r="J92" s="37">
        <f t="shared" si="6"/>
        <v>0.0277777777777778</v>
      </c>
      <c r="K92" s="38"/>
    </row>
    <row r="93" ht="15.6" spans="1:11">
      <c r="A93" s="35" t="s">
        <v>225</v>
      </c>
      <c r="B93" s="36">
        <v>144</v>
      </c>
      <c r="C93" s="24">
        <v>141</v>
      </c>
      <c r="D93" s="37">
        <f t="shared" si="4"/>
        <v>0.0208333333333334</v>
      </c>
      <c r="E93" s="37"/>
      <c r="F93" s="38">
        <v>138</v>
      </c>
      <c r="G93" s="37">
        <f t="shared" si="5"/>
        <v>0.0416666666666666</v>
      </c>
      <c r="H93" s="38"/>
      <c r="I93" s="38">
        <v>139</v>
      </c>
      <c r="J93" s="37">
        <f t="shared" si="6"/>
        <v>0.0347222222222222</v>
      </c>
      <c r="K93" s="38"/>
    </row>
    <row r="94" ht="15.6" spans="1:11">
      <c r="A94" s="35" t="s">
        <v>226</v>
      </c>
      <c r="B94" s="36">
        <v>144</v>
      </c>
      <c r="C94" s="24">
        <v>137</v>
      </c>
      <c r="D94" s="37">
        <f t="shared" si="4"/>
        <v>0.0486111111111112</v>
      </c>
      <c r="E94" s="37"/>
      <c r="F94" s="38">
        <v>140</v>
      </c>
      <c r="G94" s="37">
        <f t="shared" si="5"/>
        <v>0.0277777777777778</v>
      </c>
      <c r="H94" s="38"/>
      <c r="I94" s="38">
        <v>139</v>
      </c>
      <c r="J94" s="37">
        <f t="shared" si="6"/>
        <v>0.0347222222222222</v>
      </c>
      <c r="K94" s="38"/>
    </row>
    <row r="95" ht="15.6" spans="1:11">
      <c r="A95" s="35" t="s">
        <v>227</v>
      </c>
      <c r="B95" s="36">
        <v>144</v>
      </c>
      <c r="C95" s="24">
        <v>142</v>
      </c>
      <c r="D95" s="37">
        <f t="shared" si="4"/>
        <v>0.0138888888888888</v>
      </c>
      <c r="E95" s="37"/>
      <c r="F95" s="38">
        <v>142</v>
      </c>
      <c r="G95" s="37">
        <f t="shared" si="5"/>
        <v>0.0138888888888888</v>
      </c>
      <c r="H95" s="38"/>
      <c r="I95" s="38">
        <v>139</v>
      </c>
      <c r="J95" s="37">
        <f t="shared" si="6"/>
        <v>0.0347222222222222</v>
      </c>
      <c r="K95" s="38"/>
    </row>
    <row r="96" ht="15.6" spans="1:11">
      <c r="A96" s="35" t="s">
        <v>228</v>
      </c>
      <c r="B96" s="36">
        <v>144</v>
      </c>
      <c r="C96" s="24">
        <v>142</v>
      </c>
      <c r="D96" s="37">
        <f t="shared" si="4"/>
        <v>0.0138888888888888</v>
      </c>
      <c r="E96" s="37"/>
      <c r="F96" s="38">
        <v>142</v>
      </c>
      <c r="G96" s="37">
        <f t="shared" si="5"/>
        <v>0.0138888888888888</v>
      </c>
      <c r="H96" s="38"/>
      <c r="I96" s="38">
        <v>138</v>
      </c>
      <c r="J96" s="37">
        <f t="shared" si="6"/>
        <v>0.0416666666666666</v>
      </c>
      <c r="K96" s="38"/>
    </row>
    <row r="97" ht="15.6" spans="1:11">
      <c r="A97" s="35" t="s">
        <v>229</v>
      </c>
      <c r="B97" s="36">
        <v>144</v>
      </c>
      <c r="C97" s="24">
        <v>140</v>
      </c>
      <c r="D97" s="37">
        <f t="shared" si="4"/>
        <v>0.0277777777777778</v>
      </c>
      <c r="E97" s="37"/>
      <c r="F97" s="38">
        <v>142</v>
      </c>
      <c r="G97" s="37">
        <f t="shared" si="5"/>
        <v>0.0138888888888888</v>
      </c>
      <c r="H97" s="38"/>
      <c r="I97" s="38">
        <v>138</v>
      </c>
      <c r="J97" s="37">
        <f t="shared" si="6"/>
        <v>0.0416666666666666</v>
      </c>
      <c r="K97" s="38"/>
    </row>
    <row r="98" ht="15.6" spans="1:11">
      <c r="A98" s="35" t="s">
        <v>230</v>
      </c>
      <c r="B98" s="36">
        <v>144</v>
      </c>
      <c r="C98" s="24">
        <v>135</v>
      </c>
      <c r="D98" s="37">
        <f t="shared" si="4"/>
        <v>0.0625</v>
      </c>
      <c r="E98" s="40">
        <f>SUM(C79:C98)</f>
        <v>2677</v>
      </c>
      <c r="F98" s="38">
        <v>142</v>
      </c>
      <c r="G98" s="37">
        <f t="shared" si="5"/>
        <v>0.0138888888888888</v>
      </c>
      <c r="H98" s="40">
        <f>SUM(F79:F98)</f>
        <v>2837</v>
      </c>
      <c r="I98" s="38">
        <v>138</v>
      </c>
      <c r="J98" s="37">
        <f t="shared" si="6"/>
        <v>0.0416666666666666</v>
      </c>
      <c r="K98" s="40">
        <f>SUM(I79:I98)</f>
        <v>2747</v>
      </c>
    </row>
    <row r="99" ht="15.6" spans="1:11">
      <c r="A99" s="35" t="s">
        <v>231</v>
      </c>
      <c r="B99" s="36">
        <v>144</v>
      </c>
      <c r="C99" s="24">
        <v>135</v>
      </c>
      <c r="D99" s="37">
        <f t="shared" ref="D99:D130" si="7">1-C99/B99</f>
        <v>0.0625</v>
      </c>
      <c r="E99" s="37"/>
      <c r="F99" s="38">
        <v>138</v>
      </c>
      <c r="G99" s="37">
        <f t="shared" si="5"/>
        <v>0.0416666666666666</v>
      </c>
      <c r="H99" s="38"/>
      <c r="I99" s="38">
        <v>130</v>
      </c>
      <c r="J99" s="37">
        <f t="shared" si="6"/>
        <v>0.0972222222222222</v>
      </c>
      <c r="K99" s="38"/>
    </row>
    <row r="100" ht="15.6" spans="1:11">
      <c r="A100" s="35" t="s">
        <v>232</v>
      </c>
      <c r="B100" s="36">
        <v>144</v>
      </c>
      <c r="C100" s="24">
        <v>143</v>
      </c>
      <c r="D100" s="37">
        <f t="shared" si="7"/>
        <v>0.00694444444444442</v>
      </c>
      <c r="E100" s="37"/>
      <c r="F100" s="38">
        <v>141</v>
      </c>
      <c r="G100" s="37">
        <f t="shared" si="5"/>
        <v>0.0208333333333334</v>
      </c>
      <c r="H100" s="38"/>
      <c r="I100" s="38">
        <v>139</v>
      </c>
      <c r="J100" s="37">
        <f t="shared" si="6"/>
        <v>0.0347222222222222</v>
      </c>
      <c r="K100" s="38"/>
    </row>
    <row r="101" ht="15.6" spans="1:11">
      <c r="A101" s="35" t="s">
        <v>233</v>
      </c>
      <c r="B101" s="36">
        <v>144</v>
      </c>
      <c r="C101" s="24">
        <v>78</v>
      </c>
      <c r="D101" s="37">
        <f t="shared" si="7"/>
        <v>0.458333333333333</v>
      </c>
      <c r="E101" s="39"/>
      <c r="F101" s="38">
        <v>142</v>
      </c>
      <c r="G101" s="37">
        <f t="shared" si="5"/>
        <v>0.0138888888888888</v>
      </c>
      <c r="H101" s="38"/>
      <c r="I101" s="38">
        <v>138</v>
      </c>
      <c r="J101" s="37">
        <f t="shared" si="6"/>
        <v>0.0416666666666666</v>
      </c>
      <c r="K101" s="38"/>
    </row>
    <row r="102" ht="15.6" spans="1:11">
      <c r="A102" s="35" t="s">
        <v>234</v>
      </c>
      <c r="B102" s="36">
        <v>144</v>
      </c>
      <c r="C102" s="24">
        <v>85</v>
      </c>
      <c r="D102" s="37">
        <f t="shared" si="7"/>
        <v>0.409722222222222</v>
      </c>
      <c r="E102" s="39"/>
      <c r="F102" s="38">
        <v>143</v>
      </c>
      <c r="G102" s="37">
        <f t="shared" si="5"/>
        <v>0.00694444444444442</v>
      </c>
      <c r="H102" s="38"/>
      <c r="I102" s="38">
        <v>142</v>
      </c>
      <c r="J102" s="37">
        <f t="shared" si="6"/>
        <v>0.0138888888888888</v>
      </c>
      <c r="K102" s="38"/>
    </row>
    <row r="103" ht="15.6" spans="1:11">
      <c r="A103" s="35" t="s">
        <v>235</v>
      </c>
      <c r="B103" s="36">
        <v>144</v>
      </c>
      <c r="C103" s="24">
        <v>85</v>
      </c>
      <c r="D103" s="37">
        <f t="shared" si="7"/>
        <v>0.409722222222222</v>
      </c>
      <c r="E103" s="39"/>
      <c r="F103" s="38">
        <v>143</v>
      </c>
      <c r="G103" s="37">
        <f t="shared" si="5"/>
        <v>0.00694444444444442</v>
      </c>
      <c r="H103" s="38"/>
      <c r="I103" s="38">
        <v>142</v>
      </c>
      <c r="J103" s="37">
        <f t="shared" si="6"/>
        <v>0.0138888888888888</v>
      </c>
      <c r="K103" s="38"/>
    </row>
    <row r="104" ht="15.6" spans="1:11">
      <c r="A104" s="35" t="s">
        <v>236</v>
      </c>
      <c r="B104" s="36">
        <v>144</v>
      </c>
      <c r="C104" s="24">
        <v>141</v>
      </c>
      <c r="D104" s="37">
        <f t="shared" si="7"/>
        <v>0.0208333333333334</v>
      </c>
      <c r="E104" s="37"/>
      <c r="F104" s="38">
        <v>141</v>
      </c>
      <c r="G104" s="37">
        <f t="shared" si="5"/>
        <v>0.0208333333333334</v>
      </c>
      <c r="H104" s="38"/>
      <c r="I104" s="38">
        <v>142</v>
      </c>
      <c r="J104" s="37">
        <f t="shared" si="6"/>
        <v>0.0138888888888888</v>
      </c>
      <c r="K104" s="38"/>
    </row>
    <row r="105" ht="15.6" spans="1:11">
      <c r="A105" s="35" t="s">
        <v>237</v>
      </c>
      <c r="B105" s="36">
        <v>144</v>
      </c>
      <c r="C105" s="24">
        <v>143</v>
      </c>
      <c r="D105" s="37">
        <f t="shared" si="7"/>
        <v>0.00694444444444442</v>
      </c>
      <c r="E105" s="37"/>
      <c r="F105" s="38">
        <v>141</v>
      </c>
      <c r="G105" s="37">
        <f t="shared" si="5"/>
        <v>0.0208333333333334</v>
      </c>
      <c r="H105" s="38"/>
      <c r="I105" s="38">
        <v>142</v>
      </c>
      <c r="J105" s="37">
        <f t="shared" si="6"/>
        <v>0.0138888888888888</v>
      </c>
      <c r="K105" s="38"/>
    </row>
    <row r="106" ht="15.6" spans="1:11">
      <c r="A106" s="35" t="s">
        <v>238</v>
      </c>
      <c r="B106" s="36">
        <v>144</v>
      </c>
      <c r="C106" s="24">
        <v>88</v>
      </c>
      <c r="D106" s="37">
        <f t="shared" si="7"/>
        <v>0.388888888888889</v>
      </c>
      <c r="E106" s="39"/>
      <c r="F106" s="38">
        <v>142</v>
      </c>
      <c r="G106" s="37">
        <f t="shared" si="5"/>
        <v>0.0138888888888888</v>
      </c>
      <c r="H106" s="38"/>
      <c r="I106" s="38">
        <v>142</v>
      </c>
      <c r="J106" s="37">
        <f t="shared" si="6"/>
        <v>0.0138888888888888</v>
      </c>
      <c r="K106" s="38"/>
    </row>
    <row r="107" ht="15.6" spans="1:11">
      <c r="A107" s="35" t="s">
        <v>239</v>
      </c>
      <c r="B107" s="36">
        <v>144</v>
      </c>
      <c r="C107" s="24">
        <v>143</v>
      </c>
      <c r="D107" s="37">
        <f t="shared" si="7"/>
        <v>0.00694444444444442</v>
      </c>
      <c r="E107" s="37"/>
      <c r="F107" s="38">
        <v>143</v>
      </c>
      <c r="G107" s="37">
        <f t="shared" si="5"/>
        <v>0.00694444444444442</v>
      </c>
      <c r="H107" s="38"/>
      <c r="I107" s="38">
        <v>142</v>
      </c>
      <c r="J107" s="37">
        <f t="shared" si="6"/>
        <v>0.0138888888888888</v>
      </c>
      <c r="K107" s="38"/>
    </row>
    <row r="108" ht="15.6" spans="1:11">
      <c r="A108" s="35" t="s">
        <v>240</v>
      </c>
      <c r="B108" s="36">
        <v>144</v>
      </c>
      <c r="C108" s="24">
        <v>143</v>
      </c>
      <c r="D108" s="37">
        <f t="shared" si="7"/>
        <v>0.00694444444444442</v>
      </c>
      <c r="E108" s="37"/>
      <c r="F108" s="38">
        <v>143</v>
      </c>
      <c r="G108" s="37">
        <f t="shared" si="5"/>
        <v>0.00694444444444442</v>
      </c>
      <c r="H108" s="38"/>
      <c r="I108" s="38">
        <v>142</v>
      </c>
      <c r="J108" s="37">
        <f t="shared" si="6"/>
        <v>0.0138888888888888</v>
      </c>
      <c r="K108" s="38"/>
    </row>
    <row r="109" ht="15.6" spans="1:11">
      <c r="A109" s="35" t="s">
        <v>241</v>
      </c>
      <c r="B109" s="36">
        <v>144</v>
      </c>
      <c r="C109" s="24">
        <v>141</v>
      </c>
      <c r="D109" s="37">
        <f t="shared" si="7"/>
        <v>0.0208333333333334</v>
      </c>
      <c r="E109" s="37"/>
      <c r="F109" s="38">
        <v>143</v>
      </c>
      <c r="G109" s="37">
        <f t="shared" si="5"/>
        <v>0.00694444444444442</v>
      </c>
      <c r="H109" s="38"/>
      <c r="I109" s="38">
        <v>141</v>
      </c>
      <c r="J109" s="37">
        <f t="shared" si="6"/>
        <v>0.0208333333333334</v>
      </c>
      <c r="K109" s="38"/>
    </row>
    <row r="110" ht="15.6" spans="1:11">
      <c r="A110" s="35" t="s">
        <v>242</v>
      </c>
      <c r="B110" s="36">
        <v>144</v>
      </c>
      <c r="C110" s="24">
        <v>142</v>
      </c>
      <c r="D110" s="37">
        <f t="shared" si="7"/>
        <v>0.0138888888888888</v>
      </c>
      <c r="E110" s="37"/>
      <c r="F110" s="38">
        <v>143</v>
      </c>
      <c r="G110" s="37">
        <f t="shared" si="5"/>
        <v>0.00694444444444442</v>
      </c>
      <c r="H110" s="38"/>
      <c r="I110" s="38">
        <v>140</v>
      </c>
      <c r="J110" s="37">
        <f t="shared" si="6"/>
        <v>0.0277777777777778</v>
      </c>
      <c r="K110" s="38"/>
    </row>
    <row r="111" ht="15.6" spans="1:11">
      <c r="A111" s="35" t="s">
        <v>243</v>
      </c>
      <c r="B111" s="36">
        <v>144</v>
      </c>
      <c r="C111" s="24">
        <v>141</v>
      </c>
      <c r="D111" s="37">
        <f t="shared" si="7"/>
        <v>0.0208333333333334</v>
      </c>
      <c r="E111" s="37"/>
      <c r="F111" s="38">
        <v>141</v>
      </c>
      <c r="G111" s="37">
        <f t="shared" si="5"/>
        <v>0.0208333333333334</v>
      </c>
      <c r="H111" s="38"/>
      <c r="I111" s="38">
        <v>140</v>
      </c>
      <c r="J111" s="37">
        <f t="shared" si="6"/>
        <v>0.0277777777777778</v>
      </c>
      <c r="K111" s="38"/>
    </row>
    <row r="112" ht="15.6" spans="1:11">
      <c r="A112" s="35" t="s">
        <v>244</v>
      </c>
      <c r="B112" s="36">
        <v>144</v>
      </c>
      <c r="C112" s="24">
        <v>142</v>
      </c>
      <c r="D112" s="37">
        <f t="shared" si="7"/>
        <v>0.0138888888888888</v>
      </c>
      <c r="E112" s="37"/>
      <c r="F112" s="38">
        <v>142</v>
      </c>
      <c r="G112" s="37">
        <f t="shared" si="5"/>
        <v>0.0138888888888888</v>
      </c>
      <c r="H112" s="38"/>
      <c r="I112" s="38">
        <v>138</v>
      </c>
      <c r="J112" s="37">
        <f t="shared" si="6"/>
        <v>0.0416666666666666</v>
      </c>
      <c r="K112" s="38"/>
    </row>
    <row r="113" ht="15.6" spans="1:11">
      <c r="A113" s="35" t="s">
        <v>245</v>
      </c>
      <c r="B113" s="36">
        <v>144</v>
      </c>
      <c r="C113" s="24">
        <v>142</v>
      </c>
      <c r="D113" s="37">
        <f t="shared" si="7"/>
        <v>0.0138888888888888</v>
      </c>
      <c r="E113" s="37"/>
      <c r="F113" s="38">
        <v>142</v>
      </c>
      <c r="G113" s="37">
        <f t="shared" si="5"/>
        <v>0.0138888888888888</v>
      </c>
      <c r="H113" s="38"/>
      <c r="I113" s="38">
        <v>139</v>
      </c>
      <c r="J113" s="37">
        <f t="shared" si="6"/>
        <v>0.0347222222222222</v>
      </c>
      <c r="K113" s="38"/>
    </row>
    <row r="114" ht="15.6" spans="1:11">
      <c r="A114" s="35" t="s">
        <v>246</v>
      </c>
      <c r="B114" s="36">
        <v>144</v>
      </c>
      <c r="C114" s="24">
        <v>103</v>
      </c>
      <c r="D114" s="37">
        <f t="shared" si="7"/>
        <v>0.284722222222222</v>
      </c>
      <c r="E114" s="39"/>
      <c r="F114" s="38">
        <v>141</v>
      </c>
      <c r="G114" s="37">
        <f t="shared" si="5"/>
        <v>0.0208333333333334</v>
      </c>
      <c r="H114" s="38"/>
      <c r="I114" s="38">
        <v>136</v>
      </c>
      <c r="J114" s="37">
        <f t="shared" si="6"/>
        <v>0.0555555555555556</v>
      </c>
      <c r="K114" s="38"/>
    </row>
    <row r="115" ht="15.6" spans="1:11">
      <c r="A115" s="35" t="s">
        <v>247</v>
      </c>
      <c r="B115" s="36">
        <v>144</v>
      </c>
      <c r="C115" s="24">
        <v>142</v>
      </c>
      <c r="D115" s="37">
        <f t="shared" si="7"/>
        <v>0.0138888888888888</v>
      </c>
      <c r="E115" s="37"/>
      <c r="F115" s="38">
        <v>142</v>
      </c>
      <c r="G115" s="37">
        <f t="shared" si="5"/>
        <v>0.0138888888888888</v>
      </c>
      <c r="H115" s="38"/>
      <c r="I115" s="38">
        <v>138</v>
      </c>
      <c r="J115" s="37">
        <f t="shared" si="6"/>
        <v>0.0416666666666666</v>
      </c>
      <c r="K115" s="38"/>
    </row>
    <row r="116" ht="15.6" spans="1:11">
      <c r="A116" s="35" t="s">
        <v>248</v>
      </c>
      <c r="B116" s="36">
        <v>144</v>
      </c>
      <c r="C116" s="24">
        <v>139</v>
      </c>
      <c r="D116" s="37">
        <f t="shared" si="7"/>
        <v>0.0347222222222222</v>
      </c>
      <c r="E116" s="37"/>
      <c r="F116" s="38">
        <v>141</v>
      </c>
      <c r="G116" s="37">
        <f t="shared" si="5"/>
        <v>0.0208333333333334</v>
      </c>
      <c r="H116" s="38"/>
      <c r="I116" s="38">
        <v>139</v>
      </c>
      <c r="J116" s="37">
        <f t="shared" si="6"/>
        <v>0.0347222222222222</v>
      </c>
      <c r="K116" s="38"/>
    </row>
    <row r="117" ht="15.6" spans="1:11">
      <c r="A117" s="35" t="s">
        <v>249</v>
      </c>
      <c r="B117" s="36">
        <v>144</v>
      </c>
      <c r="C117" s="24">
        <v>142</v>
      </c>
      <c r="D117" s="37">
        <f t="shared" si="7"/>
        <v>0.0138888888888888</v>
      </c>
      <c r="E117" s="37"/>
      <c r="F117" s="38">
        <v>141</v>
      </c>
      <c r="G117" s="37">
        <f t="shared" si="5"/>
        <v>0.0208333333333334</v>
      </c>
      <c r="H117" s="38"/>
      <c r="I117" s="38">
        <v>139</v>
      </c>
      <c r="J117" s="37">
        <f t="shared" si="6"/>
        <v>0.0347222222222222</v>
      </c>
      <c r="K117" s="38"/>
    </row>
    <row r="118" ht="15.6" spans="1:11">
      <c r="A118" s="35" t="s">
        <v>250</v>
      </c>
      <c r="B118" s="36">
        <v>144</v>
      </c>
      <c r="C118" s="24">
        <v>142</v>
      </c>
      <c r="D118" s="37">
        <f t="shared" si="7"/>
        <v>0.0138888888888888</v>
      </c>
      <c r="E118" s="40">
        <f>SUM(C99:C118)</f>
        <v>2560</v>
      </c>
      <c r="F118" s="38">
        <v>142</v>
      </c>
      <c r="G118" s="37">
        <f t="shared" si="5"/>
        <v>0.0138888888888888</v>
      </c>
      <c r="H118" s="40">
        <f>SUM(F99:F118)</f>
        <v>2835</v>
      </c>
      <c r="I118" s="38">
        <v>139</v>
      </c>
      <c r="J118" s="37">
        <f t="shared" si="6"/>
        <v>0.0347222222222222</v>
      </c>
      <c r="K118" s="40">
        <f>SUM(I99:I118)</f>
        <v>2790</v>
      </c>
    </row>
    <row r="119" ht="15.6" spans="1:11">
      <c r="A119" s="35" t="s">
        <v>251</v>
      </c>
      <c r="B119" s="36">
        <v>137</v>
      </c>
      <c r="C119" s="24">
        <v>58</v>
      </c>
      <c r="D119" s="37">
        <f t="shared" si="7"/>
        <v>0.576642335766423</v>
      </c>
      <c r="E119" s="39"/>
      <c r="F119" s="38">
        <v>115</v>
      </c>
      <c r="G119" s="37">
        <f t="shared" si="5"/>
        <v>0.160583941605839</v>
      </c>
      <c r="H119" s="38"/>
      <c r="I119" s="38">
        <v>110</v>
      </c>
      <c r="J119" s="37">
        <f t="shared" si="6"/>
        <v>0.197080291970803</v>
      </c>
      <c r="K119" s="38"/>
    </row>
    <row r="120" ht="15.6" spans="1:11">
      <c r="A120" s="35" t="s">
        <v>252</v>
      </c>
      <c r="B120" s="36">
        <v>137</v>
      </c>
      <c r="C120" s="24">
        <v>69</v>
      </c>
      <c r="D120" s="37">
        <f t="shared" si="7"/>
        <v>0.496350364963504</v>
      </c>
      <c r="E120" s="39"/>
      <c r="F120" s="38">
        <v>115</v>
      </c>
      <c r="G120" s="37">
        <f t="shared" si="5"/>
        <v>0.160583941605839</v>
      </c>
      <c r="H120" s="38"/>
      <c r="I120" s="38">
        <v>111</v>
      </c>
      <c r="J120" s="37">
        <f t="shared" si="6"/>
        <v>0.18978102189781</v>
      </c>
      <c r="K120" s="38"/>
    </row>
    <row r="121" ht="15.6" spans="1:11">
      <c r="A121" s="35" t="s">
        <v>253</v>
      </c>
      <c r="B121" s="36">
        <v>137</v>
      </c>
      <c r="C121" s="24">
        <v>67</v>
      </c>
      <c r="D121" s="37">
        <f t="shared" si="7"/>
        <v>0.510948905109489</v>
      </c>
      <c r="E121" s="39"/>
      <c r="F121" s="38">
        <v>112</v>
      </c>
      <c r="G121" s="37">
        <f t="shared" si="5"/>
        <v>0.182481751824818</v>
      </c>
      <c r="H121" s="38"/>
      <c r="I121" s="38">
        <v>112</v>
      </c>
      <c r="J121" s="37">
        <f t="shared" si="6"/>
        <v>0.182481751824818</v>
      </c>
      <c r="K121" s="38"/>
    </row>
    <row r="122" ht="15.6" spans="1:11">
      <c r="A122" s="35" t="s">
        <v>254</v>
      </c>
      <c r="B122" s="36">
        <v>137</v>
      </c>
      <c r="C122" s="24">
        <v>64</v>
      </c>
      <c r="D122" s="37">
        <f t="shared" si="7"/>
        <v>0.532846715328467</v>
      </c>
      <c r="E122" s="39"/>
      <c r="F122" s="38">
        <v>114</v>
      </c>
      <c r="G122" s="37">
        <f t="shared" si="5"/>
        <v>0.167883211678832</v>
      </c>
      <c r="H122" s="38"/>
      <c r="I122" s="38">
        <v>112</v>
      </c>
      <c r="J122" s="37">
        <f t="shared" si="6"/>
        <v>0.182481751824818</v>
      </c>
      <c r="K122" s="38"/>
    </row>
    <row r="123" ht="15.6" spans="1:11">
      <c r="A123" s="35" t="s">
        <v>255</v>
      </c>
      <c r="B123" s="36">
        <v>137</v>
      </c>
      <c r="C123" s="24">
        <v>114</v>
      </c>
      <c r="D123" s="37">
        <f t="shared" si="7"/>
        <v>0.167883211678832</v>
      </c>
      <c r="E123" s="39"/>
      <c r="F123" s="38">
        <v>113</v>
      </c>
      <c r="G123" s="37">
        <f t="shared" si="5"/>
        <v>0.175182481751825</v>
      </c>
      <c r="H123" s="38"/>
      <c r="I123" s="38">
        <v>112</v>
      </c>
      <c r="J123" s="37">
        <f t="shared" si="6"/>
        <v>0.182481751824818</v>
      </c>
      <c r="K123" s="38"/>
    </row>
    <row r="124" ht="15.6" spans="1:11">
      <c r="A124" s="35" t="s">
        <v>256</v>
      </c>
      <c r="B124" s="36">
        <v>137</v>
      </c>
      <c r="C124" s="24">
        <v>69</v>
      </c>
      <c r="D124" s="37">
        <f t="shared" si="7"/>
        <v>0.496350364963504</v>
      </c>
      <c r="E124" s="39"/>
      <c r="F124" s="38">
        <v>114</v>
      </c>
      <c r="G124" s="37">
        <f t="shared" si="5"/>
        <v>0.167883211678832</v>
      </c>
      <c r="H124" s="38"/>
      <c r="I124" s="38">
        <v>110</v>
      </c>
      <c r="J124" s="37">
        <f t="shared" si="6"/>
        <v>0.197080291970803</v>
      </c>
      <c r="K124" s="38"/>
    </row>
    <row r="125" ht="15.6" spans="1:11">
      <c r="A125" s="35" t="s">
        <v>257</v>
      </c>
      <c r="B125" s="36">
        <v>137</v>
      </c>
      <c r="C125" s="24">
        <v>68</v>
      </c>
      <c r="D125" s="37">
        <f t="shared" si="7"/>
        <v>0.503649635036496</v>
      </c>
      <c r="E125" s="39"/>
      <c r="F125" s="38">
        <v>114</v>
      </c>
      <c r="G125" s="37">
        <f t="shared" si="5"/>
        <v>0.167883211678832</v>
      </c>
      <c r="H125" s="38"/>
      <c r="I125" s="38">
        <v>111</v>
      </c>
      <c r="J125" s="37">
        <f t="shared" si="6"/>
        <v>0.18978102189781</v>
      </c>
      <c r="K125" s="38"/>
    </row>
    <row r="126" ht="15.6" spans="1:11">
      <c r="A126" s="35" t="s">
        <v>258</v>
      </c>
      <c r="B126" s="36">
        <v>137</v>
      </c>
      <c r="C126" s="24">
        <v>68</v>
      </c>
      <c r="D126" s="37">
        <f t="shared" si="7"/>
        <v>0.503649635036496</v>
      </c>
      <c r="E126" s="39"/>
      <c r="F126" s="38">
        <v>114</v>
      </c>
      <c r="G126" s="37">
        <f t="shared" si="5"/>
        <v>0.167883211678832</v>
      </c>
      <c r="H126" s="38"/>
      <c r="I126" s="38">
        <v>111</v>
      </c>
      <c r="J126" s="37">
        <f t="shared" si="6"/>
        <v>0.18978102189781</v>
      </c>
      <c r="K126" s="38"/>
    </row>
    <row r="127" ht="15.6" spans="1:11">
      <c r="A127" s="35" t="s">
        <v>259</v>
      </c>
      <c r="B127" s="36">
        <v>137</v>
      </c>
      <c r="C127" s="24">
        <v>114</v>
      </c>
      <c r="D127" s="37">
        <f t="shared" si="7"/>
        <v>0.167883211678832</v>
      </c>
      <c r="E127" s="39"/>
      <c r="F127" s="38">
        <v>114</v>
      </c>
      <c r="G127" s="37">
        <f t="shared" si="5"/>
        <v>0.167883211678832</v>
      </c>
      <c r="H127" s="38"/>
      <c r="I127" s="38">
        <v>112</v>
      </c>
      <c r="J127" s="37">
        <f t="shared" si="6"/>
        <v>0.182481751824818</v>
      </c>
      <c r="K127" s="38"/>
    </row>
    <row r="128" ht="15.6" spans="1:11">
      <c r="A128" s="35" t="s">
        <v>260</v>
      </c>
      <c r="B128" s="36">
        <v>137</v>
      </c>
      <c r="C128" s="24">
        <v>114</v>
      </c>
      <c r="D128" s="37">
        <f t="shared" si="7"/>
        <v>0.167883211678832</v>
      </c>
      <c r="E128" s="39"/>
      <c r="F128" s="38">
        <v>114</v>
      </c>
      <c r="G128" s="37">
        <f t="shared" si="5"/>
        <v>0.167883211678832</v>
      </c>
      <c r="H128" s="38"/>
      <c r="I128" s="38">
        <v>113</v>
      </c>
      <c r="J128" s="37">
        <f t="shared" si="6"/>
        <v>0.175182481751825</v>
      </c>
      <c r="K128" s="38"/>
    </row>
    <row r="129" ht="15.6" spans="1:11">
      <c r="A129" s="35" t="s">
        <v>261</v>
      </c>
      <c r="B129" s="36">
        <v>137</v>
      </c>
      <c r="C129" s="24">
        <v>113</v>
      </c>
      <c r="D129" s="37">
        <f t="shared" si="7"/>
        <v>0.175182481751825</v>
      </c>
      <c r="E129" s="39"/>
      <c r="F129" s="38">
        <v>113</v>
      </c>
      <c r="G129" s="37">
        <f t="shared" si="5"/>
        <v>0.175182481751825</v>
      </c>
      <c r="H129" s="38"/>
      <c r="I129" s="38">
        <v>112</v>
      </c>
      <c r="J129" s="37">
        <f t="shared" si="6"/>
        <v>0.182481751824818</v>
      </c>
      <c r="K129" s="38"/>
    </row>
    <row r="130" ht="15.6" spans="1:11">
      <c r="A130" s="35" t="s">
        <v>262</v>
      </c>
      <c r="B130" s="36">
        <v>137</v>
      </c>
      <c r="C130" s="24">
        <v>70</v>
      </c>
      <c r="D130" s="37">
        <f t="shared" si="7"/>
        <v>0.489051094890511</v>
      </c>
      <c r="E130" s="39"/>
      <c r="F130" s="38">
        <v>113</v>
      </c>
      <c r="G130" s="37">
        <f t="shared" si="5"/>
        <v>0.175182481751825</v>
      </c>
      <c r="H130" s="38"/>
      <c r="I130" s="38">
        <v>113</v>
      </c>
      <c r="J130" s="37">
        <f t="shared" si="6"/>
        <v>0.175182481751825</v>
      </c>
      <c r="K130" s="38"/>
    </row>
    <row r="131" ht="15.6" spans="1:11">
      <c r="A131" s="35" t="s">
        <v>263</v>
      </c>
      <c r="B131" s="36">
        <v>137</v>
      </c>
      <c r="C131" s="24">
        <v>114</v>
      </c>
      <c r="D131" s="37">
        <f t="shared" ref="D131:D161" si="8">1-C131/B131</f>
        <v>0.167883211678832</v>
      </c>
      <c r="E131" s="39"/>
      <c r="F131" s="38">
        <v>114</v>
      </c>
      <c r="G131" s="37">
        <f t="shared" si="5"/>
        <v>0.167883211678832</v>
      </c>
      <c r="H131" s="38"/>
      <c r="I131" s="38">
        <v>112</v>
      </c>
      <c r="J131" s="37">
        <f t="shared" si="6"/>
        <v>0.182481751824818</v>
      </c>
      <c r="K131" s="38"/>
    </row>
    <row r="132" ht="15.6" spans="1:11">
      <c r="A132" s="35" t="s">
        <v>264</v>
      </c>
      <c r="B132" s="36">
        <v>137</v>
      </c>
      <c r="C132" s="24">
        <v>113</v>
      </c>
      <c r="D132" s="37">
        <f t="shared" si="8"/>
        <v>0.175182481751825</v>
      </c>
      <c r="E132" s="39"/>
      <c r="F132" s="38">
        <v>113</v>
      </c>
      <c r="G132" s="37">
        <f t="shared" ref="G132:G161" si="9">1-F132/B132</f>
        <v>0.175182481751825</v>
      </c>
      <c r="H132" s="38"/>
      <c r="I132" s="38">
        <v>84</v>
      </c>
      <c r="J132" s="37">
        <f t="shared" ref="J132:J161" si="10">1-I132/B132</f>
        <v>0.386861313868613</v>
      </c>
      <c r="K132" s="38"/>
    </row>
    <row r="133" ht="15.6" spans="1:11">
      <c r="A133" s="35" t="s">
        <v>265</v>
      </c>
      <c r="B133" s="36">
        <v>137</v>
      </c>
      <c r="C133" s="24">
        <v>114</v>
      </c>
      <c r="D133" s="37">
        <f t="shared" si="8"/>
        <v>0.167883211678832</v>
      </c>
      <c r="E133" s="39"/>
      <c r="F133" s="38">
        <v>112</v>
      </c>
      <c r="G133" s="37">
        <f t="shared" si="9"/>
        <v>0.182481751824818</v>
      </c>
      <c r="H133" s="38"/>
      <c r="I133" s="38">
        <v>113</v>
      </c>
      <c r="J133" s="37">
        <f t="shared" si="10"/>
        <v>0.175182481751825</v>
      </c>
      <c r="K133" s="38"/>
    </row>
    <row r="134" ht="15.6" spans="1:11">
      <c r="A134" s="35" t="s">
        <v>266</v>
      </c>
      <c r="B134" s="36">
        <v>137</v>
      </c>
      <c r="C134" s="24">
        <v>113</v>
      </c>
      <c r="D134" s="37">
        <f t="shared" si="8"/>
        <v>0.175182481751825</v>
      </c>
      <c r="E134" s="39"/>
      <c r="F134" s="38">
        <v>114</v>
      </c>
      <c r="G134" s="37">
        <f t="shared" si="9"/>
        <v>0.167883211678832</v>
      </c>
      <c r="H134" s="38"/>
      <c r="I134" s="38">
        <v>112</v>
      </c>
      <c r="J134" s="37">
        <f t="shared" si="10"/>
        <v>0.182481751824818</v>
      </c>
      <c r="K134" s="38"/>
    </row>
    <row r="135" ht="15.6" spans="1:11">
      <c r="A135" s="35" t="s">
        <v>267</v>
      </c>
      <c r="B135" s="36">
        <v>137</v>
      </c>
      <c r="C135" s="24">
        <v>110</v>
      </c>
      <c r="D135" s="37">
        <f t="shared" si="8"/>
        <v>0.197080291970803</v>
      </c>
      <c r="E135" s="39"/>
      <c r="F135" s="38">
        <v>84</v>
      </c>
      <c r="G135" s="37">
        <f t="shared" si="9"/>
        <v>0.386861313868613</v>
      </c>
      <c r="H135" s="38"/>
      <c r="I135" s="38">
        <v>93</v>
      </c>
      <c r="J135" s="37">
        <f t="shared" si="10"/>
        <v>0.321167883211679</v>
      </c>
      <c r="K135" s="38"/>
    </row>
    <row r="136" ht="15.6" spans="1:11">
      <c r="A136" s="35" t="s">
        <v>268</v>
      </c>
      <c r="B136" s="36">
        <v>137</v>
      </c>
      <c r="C136" s="24">
        <v>114</v>
      </c>
      <c r="D136" s="37">
        <f t="shared" si="8"/>
        <v>0.167883211678832</v>
      </c>
      <c r="E136" s="39"/>
      <c r="F136" s="38">
        <v>114</v>
      </c>
      <c r="G136" s="37">
        <f t="shared" si="9"/>
        <v>0.167883211678832</v>
      </c>
      <c r="H136" s="38"/>
      <c r="I136" s="38">
        <v>111</v>
      </c>
      <c r="J136" s="37">
        <f t="shared" si="10"/>
        <v>0.18978102189781</v>
      </c>
      <c r="K136" s="38"/>
    </row>
    <row r="137" ht="15.6" spans="1:11">
      <c r="A137" s="35" t="s">
        <v>269</v>
      </c>
      <c r="B137" s="36">
        <v>137</v>
      </c>
      <c r="C137" s="24">
        <v>114</v>
      </c>
      <c r="D137" s="37">
        <f t="shared" si="8"/>
        <v>0.167883211678832</v>
      </c>
      <c r="E137" s="39"/>
      <c r="F137" s="38">
        <v>114</v>
      </c>
      <c r="G137" s="37">
        <f t="shared" si="9"/>
        <v>0.167883211678832</v>
      </c>
      <c r="H137" s="38"/>
      <c r="I137" s="38">
        <v>113</v>
      </c>
      <c r="J137" s="37">
        <f t="shared" si="10"/>
        <v>0.175182481751825</v>
      </c>
      <c r="K137" s="38"/>
    </row>
    <row r="138" ht="15.6" spans="1:11">
      <c r="A138" s="35" t="s">
        <v>270</v>
      </c>
      <c r="B138" s="36">
        <v>137</v>
      </c>
      <c r="C138" s="24">
        <v>113</v>
      </c>
      <c r="D138" s="37">
        <f t="shared" si="8"/>
        <v>0.175182481751825</v>
      </c>
      <c r="E138" s="39"/>
      <c r="F138" s="38">
        <v>114</v>
      </c>
      <c r="G138" s="37">
        <f t="shared" si="9"/>
        <v>0.167883211678832</v>
      </c>
      <c r="H138" s="38"/>
      <c r="I138" s="38">
        <v>113</v>
      </c>
      <c r="J138" s="37">
        <f t="shared" si="10"/>
        <v>0.175182481751825</v>
      </c>
      <c r="K138" s="38"/>
    </row>
    <row r="139" ht="15.6" spans="1:11">
      <c r="A139" s="35" t="s">
        <v>271</v>
      </c>
      <c r="B139" s="36">
        <v>137</v>
      </c>
      <c r="C139" s="24">
        <v>114</v>
      </c>
      <c r="D139" s="37">
        <f t="shared" si="8"/>
        <v>0.167883211678832</v>
      </c>
      <c r="E139" s="40">
        <f>SUM(C119:C139)</f>
        <v>2007</v>
      </c>
      <c r="F139" s="38">
        <v>114</v>
      </c>
      <c r="G139" s="37">
        <f t="shared" si="9"/>
        <v>0.167883211678832</v>
      </c>
      <c r="H139" s="40">
        <f>SUM(F119:F139)</f>
        <v>2358</v>
      </c>
      <c r="I139" s="38">
        <v>112</v>
      </c>
      <c r="J139" s="37">
        <f t="shared" si="10"/>
        <v>0.182481751824818</v>
      </c>
      <c r="K139" s="40">
        <f>SUM(I119:I139)</f>
        <v>2302</v>
      </c>
    </row>
    <row r="140" ht="15.6" spans="1:11">
      <c r="A140" s="35" t="s">
        <v>272</v>
      </c>
      <c r="B140" s="36">
        <v>131</v>
      </c>
      <c r="C140" s="24">
        <v>130</v>
      </c>
      <c r="D140" s="37">
        <f t="shared" si="8"/>
        <v>0.00763358778625955</v>
      </c>
      <c r="E140" s="37"/>
      <c r="F140" s="38">
        <v>129</v>
      </c>
      <c r="G140" s="37">
        <f t="shared" si="9"/>
        <v>0.0152671755725191</v>
      </c>
      <c r="H140" s="38"/>
      <c r="I140" s="38">
        <v>127</v>
      </c>
      <c r="J140" s="37">
        <f t="shared" si="10"/>
        <v>0.0305343511450382</v>
      </c>
      <c r="K140" s="38"/>
    </row>
    <row r="141" ht="15.6" spans="1:11">
      <c r="A141" s="35" t="s">
        <v>273</v>
      </c>
      <c r="B141" s="36">
        <v>131</v>
      </c>
      <c r="C141" s="24">
        <v>130</v>
      </c>
      <c r="D141" s="37">
        <f t="shared" si="8"/>
        <v>0.00763358778625955</v>
      </c>
      <c r="E141" s="37"/>
      <c r="F141" s="38">
        <v>130</v>
      </c>
      <c r="G141" s="37">
        <f t="shared" si="9"/>
        <v>0.00763358778625955</v>
      </c>
      <c r="H141" s="38"/>
      <c r="I141" s="38">
        <v>126</v>
      </c>
      <c r="J141" s="37">
        <f t="shared" si="10"/>
        <v>0.0381679389312977</v>
      </c>
      <c r="K141" s="38"/>
    </row>
    <row r="142" ht="15.6" spans="1:11">
      <c r="A142" s="35" t="s">
        <v>274</v>
      </c>
      <c r="B142" s="36">
        <v>131</v>
      </c>
      <c r="C142" s="24">
        <v>129</v>
      </c>
      <c r="D142" s="37">
        <f t="shared" si="8"/>
        <v>0.0152671755725191</v>
      </c>
      <c r="E142" s="37"/>
      <c r="F142" s="38">
        <v>127</v>
      </c>
      <c r="G142" s="37">
        <f t="shared" si="9"/>
        <v>0.0305343511450382</v>
      </c>
      <c r="H142" s="38"/>
      <c r="I142" s="38">
        <v>126</v>
      </c>
      <c r="J142" s="37">
        <f t="shared" si="10"/>
        <v>0.0381679389312977</v>
      </c>
      <c r="K142" s="38"/>
    </row>
    <row r="143" ht="15.6" spans="1:11">
      <c r="A143" s="35" t="s">
        <v>275</v>
      </c>
      <c r="B143" s="36">
        <v>131</v>
      </c>
      <c r="C143" s="24">
        <v>130</v>
      </c>
      <c r="D143" s="37">
        <f t="shared" si="8"/>
        <v>0.00763358778625955</v>
      </c>
      <c r="E143" s="37"/>
      <c r="F143" s="38">
        <v>130</v>
      </c>
      <c r="G143" s="37">
        <f t="shared" si="9"/>
        <v>0.00763358778625955</v>
      </c>
      <c r="H143" s="38"/>
      <c r="I143" s="38">
        <v>129</v>
      </c>
      <c r="J143" s="37">
        <f t="shared" si="10"/>
        <v>0.0152671755725191</v>
      </c>
      <c r="K143" s="38"/>
    </row>
    <row r="144" ht="15.6" spans="1:11">
      <c r="A144" s="35" t="s">
        <v>276</v>
      </c>
      <c r="B144" s="36">
        <v>131</v>
      </c>
      <c r="C144" s="24">
        <v>120</v>
      </c>
      <c r="D144" s="37">
        <f t="shared" si="8"/>
        <v>0.083969465648855</v>
      </c>
      <c r="E144" s="37"/>
      <c r="F144" s="38">
        <v>125</v>
      </c>
      <c r="G144" s="37">
        <f t="shared" si="9"/>
        <v>0.0458015267175572</v>
      </c>
      <c r="H144" s="38"/>
      <c r="I144" s="38">
        <v>126</v>
      </c>
      <c r="J144" s="37">
        <f t="shared" si="10"/>
        <v>0.0381679389312977</v>
      </c>
      <c r="K144" s="38"/>
    </row>
    <row r="145" ht="15.6" spans="1:11">
      <c r="A145" s="35" t="s">
        <v>277</v>
      </c>
      <c r="B145" s="36">
        <v>131</v>
      </c>
      <c r="C145" s="24">
        <v>130</v>
      </c>
      <c r="D145" s="37">
        <f t="shared" si="8"/>
        <v>0.00763358778625955</v>
      </c>
      <c r="E145" s="37"/>
      <c r="F145" s="38">
        <v>130</v>
      </c>
      <c r="G145" s="37">
        <f t="shared" si="9"/>
        <v>0.00763358778625955</v>
      </c>
      <c r="H145" s="38"/>
      <c r="I145" s="38">
        <v>129</v>
      </c>
      <c r="J145" s="37">
        <f t="shared" si="10"/>
        <v>0.0152671755725191</v>
      </c>
      <c r="K145" s="38"/>
    </row>
    <row r="146" ht="15.6" spans="1:11">
      <c r="A146" s="35" t="s">
        <v>278</v>
      </c>
      <c r="B146" s="36">
        <v>131</v>
      </c>
      <c r="C146" s="24">
        <v>129</v>
      </c>
      <c r="D146" s="37">
        <f t="shared" si="8"/>
        <v>0.0152671755725191</v>
      </c>
      <c r="E146" s="37"/>
      <c r="F146" s="38">
        <v>130</v>
      </c>
      <c r="G146" s="37">
        <f t="shared" si="9"/>
        <v>0.00763358778625955</v>
      </c>
      <c r="H146" s="38"/>
      <c r="I146" s="38">
        <v>129</v>
      </c>
      <c r="J146" s="37">
        <f t="shared" si="10"/>
        <v>0.0152671755725191</v>
      </c>
      <c r="K146" s="38"/>
    </row>
    <row r="147" ht="15.6" spans="1:11">
      <c r="A147" s="35" t="s">
        <v>279</v>
      </c>
      <c r="B147" s="36">
        <v>131</v>
      </c>
      <c r="C147" s="24">
        <v>122</v>
      </c>
      <c r="D147" s="37">
        <f t="shared" si="8"/>
        <v>0.0687022900763359</v>
      </c>
      <c r="E147" s="37"/>
      <c r="F147" s="38">
        <v>122</v>
      </c>
      <c r="G147" s="37">
        <f t="shared" si="9"/>
        <v>0.0687022900763359</v>
      </c>
      <c r="H147" s="38"/>
      <c r="I147" s="38">
        <v>120</v>
      </c>
      <c r="J147" s="37">
        <f t="shared" si="10"/>
        <v>0.083969465648855</v>
      </c>
      <c r="K147" s="38"/>
    </row>
    <row r="148" ht="15.6" spans="1:11">
      <c r="A148" s="35" t="s">
        <v>280</v>
      </c>
      <c r="B148" s="36">
        <v>131</v>
      </c>
      <c r="C148" s="24">
        <v>129</v>
      </c>
      <c r="D148" s="37">
        <f t="shared" si="8"/>
        <v>0.0152671755725191</v>
      </c>
      <c r="E148" s="37"/>
      <c r="F148" s="38">
        <v>130</v>
      </c>
      <c r="G148" s="37">
        <f t="shared" si="9"/>
        <v>0.00763358778625955</v>
      </c>
      <c r="H148" s="38"/>
      <c r="I148" s="38">
        <v>129</v>
      </c>
      <c r="J148" s="37">
        <f t="shared" si="10"/>
        <v>0.0152671755725191</v>
      </c>
      <c r="K148" s="38"/>
    </row>
    <row r="149" ht="15.6" spans="1:11">
      <c r="A149" s="35" t="s">
        <v>281</v>
      </c>
      <c r="B149" s="36">
        <v>131</v>
      </c>
      <c r="C149" s="24">
        <v>130</v>
      </c>
      <c r="D149" s="37">
        <f t="shared" si="8"/>
        <v>0.00763358778625955</v>
      </c>
      <c r="E149" s="37"/>
      <c r="F149" s="38">
        <v>129</v>
      </c>
      <c r="G149" s="37">
        <f t="shared" si="9"/>
        <v>0.0152671755725191</v>
      </c>
      <c r="H149" s="38"/>
      <c r="I149" s="38">
        <v>128</v>
      </c>
      <c r="J149" s="37">
        <f t="shared" si="10"/>
        <v>0.0229007633587787</v>
      </c>
      <c r="K149" s="38"/>
    </row>
    <row r="150" ht="15.6" spans="1:11">
      <c r="A150" s="35" t="s">
        <v>282</v>
      </c>
      <c r="B150" s="36">
        <v>131</v>
      </c>
      <c r="C150" s="24">
        <v>112</v>
      </c>
      <c r="D150" s="37">
        <f t="shared" si="8"/>
        <v>0.145038167938931</v>
      </c>
      <c r="E150" s="39"/>
      <c r="F150" s="38">
        <v>130</v>
      </c>
      <c r="G150" s="37">
        <f t="shared" si="9"/>
        <v>0.00763358778625955</v>
      </c>
      <c r="H150" s="38"/>
      <c r="I150" s="38">
        <v>125</v>
      </c>
      <c r="J150" s="37">
        <f t="shared" si="10"/>
        <v>0.0458015267175572</v>
      </c>
      <c r="K150" s="38"/>
    </row>
    <row r="151" ht="15.6" spans="1:11">
      <c r="A151" s="35" t="s">
        <v>283</v>
      </c>
      <c r="B151" s="36">
        <v>131</v>
      </c>
      <c r="C151" s="24">
        <v>130</v>
      </c>
      <c r="D151" s="37">
        <f t="shared" si="8"/>
        <v>0.00763358778625955</v>
      </c>
      <c r="E151" s="37"/>
      <c r="F151" s="38">
        <v>130</v>
      </c>
      <c r="G151" s="37">
        <f t="shared" si="9"/>
        <v>0.00763358778625955</v>
      </c>
      <c r="H151" s="38"/>
      <c r="I151" s="38">
        <v>128</v>
      </c>
      <c r="J151" s="37">
        <f t="shared" si="10"/>
        <v>0.0229007633587787</v>
      </c>
      <c r="K151" s="38"/>
    </row>
    <row r="152" ht="15.6" spans="1:11">
      <c r="A152" s="35" t="s">
        <v>284</v>
      </c>
      <c r="B152" s="36">
        <v>131</v>
      </c>
      <c r="C152" s="24">
        <v>128</v>
      </c>
      <c r="D152" s="37">
        <f t="shared" si="8"/>
        <v>0.0229007633587787</v>
      </c>
      <c r="E152" s="37"/>
      <c r="F152" s="38">
        <v>129</v>
      </c>
      <c r="G152" s="37">
        <f t="shared" si="9"/>
        <v>0.0152671755725191</v>
      </c>
      <c r="H152" s="38"/>
      <c r="I152" s="38">
        <v>128</v>
      </c>
      <c r="J152" s="37">
        <f t="shared" si="10"/>
        <v>0.0229007633587787</v>
      </c>
      <c r="K152" s="38"/>
    </row>
    <row r="153" ht="15.6" spans="1:11">
      <c r="A153" s="35" t="s">
        <v>285</v>
      </c>
      <c r="B153" s="36">
        <v>131</v>
      </c>
      <c r="C153" s="24">
        <v>80</v>
      </c>
      <c r="D153" s="37">
        <f t="shared" si="8"/>
        <v>0.389312977099237</v>
      </c>
      <c r="E153" s="39"/>
      <c r="F153" s="38">
        <v>130</v>
      </c>
      <c r="G153" s="37">
        <f t="shared" si="9"/>
        <v>0.00763358778625955</v>
      </c>
      <c r="H153" s="38"/>
      <c r="I153" s="38">
        <v>128</v>
      </c>
      <c r="J153" s="37">
        <f t="shared" si="10"/>
        <v>0.0229007633587787</v>
      </c>
      <c r="K153" s="38"/>
    </row>
    <row r="154" ht="15.6" spans="1:11">
      <c r="A154" s="35" t="s">
        <v>286</v>
      </c>
      <c r="B154" s="36">
        <v>131</v>
      </c>
      <c r="C154" s="24">
        <v>130</v>
      </c>
      <c r="D154" s="37">
        <f t="shared" si="8"/>
        <v>0.00763358778625955</v>
      </c>
      <c r="E154" s="37"/>
      <c r="F154" s="38">
        <v>129</v>
      </c>
      <c r="G154" s="37">
        <f t="shared" si="9"/>
        <v>0.0152671755725191</v>
      </c>
      <c r="H154" s="38"/>
      <c r="I154" s="38">
        <v>128</v>
      </c>
      <c r="J154" s="37">
        <f t="shared" si="10"/>
        <v>0.0229007633587787</v>
      </c>
      <c r="K154" s="38"/>
    </row>
    <row r="155" ht="15.6" spans="1:11">
      <c r="A155" s="35" t="s">
        <v>287</v>
      </c>
      <c r="B155" s="36">
        <v>131</v>
      </c>
      <c r="C155" s="24">
        <v>129</v>
      </c>
      <c r="D155" s="37">
        <f t="shared" si="8"/>
        <v>0.0152671755725191</v>
      </c>
      <c r="E155" s="37"/>
      <c r="F155" s="38">
        <v>129</v>
      </c>
      <c r="G155" s="37">
        <f t="shared" si="9"/>
        <v>0.0152671755725191</v>
      </c>
      <c r="H155" s="38"/>
      <c r="I155" s="38">
        <v>127</v>
      </c>
      <c r="J155" s="37">
        <f t="shared" si="10"/>
        <v>0.0305343511450382</v>
      </c>
      <c r="K155" s="38"/>
    </row>
    <row r="156" ht="15.6" spans="1:11">
      <c r="A156" s="35" t="s">
        <v>288</v>
      </c>
      <c r="B156" s="36">
        <v>131</v>
      </c>
      <c r="C156" s="24">
        <v>129</v>
      </c>
      <c r="D156" s="37">
        <f t="shared" si="8"/>
        <v>0.0152671755725191</v>
      </c>
      <c r="E156" s="37"/>
      <c r="F156" s="38">
        <v>129</v>
      </c>
      <c r="G156" s="37">
        <f t="shared" si="9"/>
        <v>0.0152671755725191</v>
      </c>
      <c r="H156" s="38"/>
      <c r="I156" s="38">
        <v>127</v>
      </c>
      <c r="J156" s="37">
        <f t="shared" si="10"/>
        <v>0.0305343511450382</v>
      </c>
      <c r="K156" s="38"/>
    </row>
    <row r="157" ht="15.6" spans="1:11">
      <c r="A157" s="35" t="s">
        <v>289</v>
      </c>
      <c r="B157" s="36">
        <v>131</v>
      </c>
      <c r="C157" s="24">
        <v>128</v>
      </c>
      <c r="D157" s="37">
        <f t="shared" si="8"/>
        <v>0.0229007633587787</v>
      </c>
      <c r="E157" s="37"/>
      <c r="F157" s="38">
        <v>129</v>
      </c>
      <c r="G157" s="37">
        <f t="shared" si="9"/>
        <v>0.0152671755725191</v>
      </c>
      <c r="H157" s="38"/>
      <c r="I157" s="38">
        <v>126</v>
      </c>
      <c r="J157" s="37">
        <f t="shared" si="10"/>
        <v>0.0381679389312977</v>
      </c>
      <c r="K157" s="38"/>
    </row>
    <row r="158" ht="15.6" spans="1:11">
      <c r="A158" s="35" t="s">
        <v>290</v>
      </c>
      <c r="B158" s="36">
        <v>131</v>
      </c>
      <c r="C158" s="24">
        <v>129</v>
      </c>
      <c r="D158" s="37">
        <f t="shared" si="8"/>
        <v>0.0152671755725191</v>
      </c>
      <c r="E158" s="37"/>
      <c r="F158" s="38">
        <v>128</v>
      </c>
      <c r="G158" s="37">
        <f t="shared" si="9"/>
        <v>0.0229007633587787</v>
      </c>
      <c r="H158" s="38"/>
      <c r="I158" s="38">
        <v>126</v>
      </c>
      <c r="J158" s="37">
        <f t="shared" si="10"/>
        <v>0.0381679389312977</v>
      </c>
      <c r="K158" s="38"/>
    </row>
    <row r="159" ht="15.6" spans="1:11">
      <c r="A159" s="35" t="s">
        <v>291</v>
      </c>
      <c r="B159" s="36">
        <v>131</v>
      </c>
      <c r="C159" s="24">
        <v>128</v>
      </c>
      <c r="D159" s="37">
        <f t="shared" si="8"/>
        <v>0.0229007633587787</v>
      </c>
      <c r="E159" s="37"/>
      <c r="F159" s="38">
        <v>129</v>
      </c>
      <c r="G159" s="37">
        <f t="shared" si="9"/>
        <v>0.0152671755725191</v>
      </c>
      <c r="H159" s="38"/>
      <c r="I159" s="38">
        <v>126</v>
      </c>
      <c r="J159" s="37">
        <f t="shared" si="10"/>
        <v>0.0381679389312977</v>
      </c>
      <c r="K159" s="38"/>
    </row>
    <row r="160" ht="15.6" spans="1:11">
      <c r="A160" s="35" t="s">
        <v>292</v>
      </c>
      <c r="B160" s="36">
        <v>131</v>
      </c>
      <c r="C160" s="24">
        <v>123</v>
      </c>
      <c r="D160" s="37">
        <f t="shared" si="8"/>
        <v>0.0610687022900763</v>
      </c>
      <c r="E160" s="37"/>
      <c r="F160" s="38">
        <v>127</v>
      </c>
      <c r="G160" s="37">
        <f t="shared" si="9"/>
        <v>0.0305343511450382</v>
      </c>
      <c r="H160" s="38"/>
      <c r="I160" s="38">
        <v>127</v>
      </c>
      <c r="J160" s="37">
        <f t="shared" si="10"/>
        <v>0.0305343511450382</v>
      </c>
      <c r="K160" s="38"/>
    </row>
    <row r="161" ht="15.6" spans="1:11">
      <c r="A161" s="35" t="s">
        <v>293</v>
      </c>
      <c r="B161" s="36">
        <v>131</v>
      </c>
      <c r="C161" s="24">
        <v>126</v>
      </c>
      <c r="D161" s="37">
        <f t="shared" si="8"/>
        <v>0.0381679389312977</v>
      </c>
      <c r="E161" s="40">
        <f>SUM(C140:C161)</f>
        <v>2751</v>
      </c>
      <c r="F161" s="38">
        <v>115</v>
      </c>
      <c r="G161" s="37">
        <f t="shared" si="9"/>
        <v>0.122137404580153</v>
      </c>
      <c r="H161" s="40">
        <f>SUM(F140:F161)</f>
        <v>2816</v>
      </c>
      <c r="I161" s="38">
        <v>125</v>
      </c>
      <c r="J161" s="37">
        <f t="shared" si="10"/>
        <v>0.0458015267175572</v>
      </c>
      <c r="K161" s="40">
        <f>SUM(I140:I161)</f>
        <v>2790</v>
      </c>
    </row>
  </sheetData>
  <autoFilter xmlns:etc="http://www.wps.cn/officeDocument/2017/etCustomData" ref="A2:D161" etc:filterBottomFollowUsedRange="0">
    <sortState ref="A2:D161">
      <sortCondition ref="D2:D161" descending="1"/>
    </sortState>
    <extLst/>
  </autoFilter>
  <mergeCells count="3">
    <mergeCell ref="B1:E1"/>
    <mergeCell ref="F1:H1"/>
    <mergeCell ref="I1:K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17" workbookViewId="0">
      <selection activeCell="J24" sqref="J24"/>
    </sheetView>
  </sheetViews>
  <sheetFormatPr defaultColWidth="9" defaultRowHeight="14.4" outlineLevelCol="7"/>
  <cols>
    <col min="1" max="1" width="5.44444444444444" style="2" customWidth="1"/>
    <col min="2" max="2" width="10" style="16" customWidth="1"/>
    <col min="3" max="3" width="24.7777777777778" style="16" customWidth="1"/>
    <col min="4" max="4" width="13.2222222222222" style="16" customWidth="1"/>
    <col min="5" max="5" width="8.33333333333333" style="2" customWidth="1"/>
    <col min="6" max="6" width="39.6666666666667" style="2" customWidth="1"/>
    <col min="7" max="7" width="19.3333333333333" style="17" customWidth="1"/>
    <col min="8" max="8" width="30.1111111111111" style="1" customWidth="1"/>
    <col min="9" max="16384" width="9" style="1"/>
  </cols>
  <sheetData>
    <row r="1" ht="30" spans="1:8">
      <c r="A1" s="3" t="s">
        <v>294</v>
      </c>
      <c r="B1" s="3" t="s">
        <v>295</v>
      </c>
      <c r="C1" s="3" t="s">
        <v>296</v>
      </c>
      <c r="D1" s="3" t="s">
        <v>297</v>
      </c>
      <c r="E1" s="3" t="s">
        <v>298</v>
      </c>
      <c r="F1" s="3" t="s">
        <v>299</v>
      </c>
      <c r="G1" s="18" t="s">
        <v>300</v>
      </c>
      <c r="H1" s="18" t="s">
        <v>301</v>
      </c>
    </row>
    <row r="2" spans="1:8">
      <c r="A2" s="5">
        <f>ROW()-1</f>
        <v>1</v>
      </c>
      <c r="B2" s="19" t="s">
        <v>302</v>
      </c>
      <c r="C2" s="19" t="s">
        <v>303</v>
      </c>
      <c r="D2" s="20" t="s">
        <v>304</v>
      </c>
      <c r="E2" s="5" t="s">
        <v>165</v>
      </c>
      <c r="F2" s="21" t="s">
        <v>305</v>
      </c>
      <c r="G2" s="22">
        <v>43411.3346296296</v>
      </c>
      <c r="H2" s="4"/>
    </row>
    <row r="3" spans="1:8">
      <c r="A3" s="5">
        <f t="shared" ref="A3:A37" si="0">ROW()-1</f>
        <v>2</v>
      </c>
      <c r="B3" s="19" t="s">
        <v>302</v>
      </c>
      <c r="C3" s="19" t="s">
        <v>303</v>
      </c>
      <c r="D3" s="20" t="s">
        <v>306</v>
      </c>
      <c r="E3" s="5" t="s">
        <v>166</v>
      </c>
      <c r="F3" s="21" t="s">
        <v>305</v>
      </c>
      <c r="G3" s="22">
        <v>43411.3349768519</v>
      </c>
      <c r="H3" s="4"/>
    </row>
    <row r="4" spans="1:8">
      <c r="A4" s="5">
        <f t="shared" si="0"/>
        <v>3</v>
      </c>
      <c r="B4" s="19" t="s">
        <v>302</v>
      </c>
      <c r="C4" s="19" t="s">
        <v>303</v>
      </c>
      <c r="D4" s="20" t="s">
        <v>307</v>
      </c>
      <c r="E4" s="5" t="s">
        <v>169</v>
      </c>
      <c r="F4" s="21" t="s">
        <v>305</v>
      </c>
      <c r="G4" s="22">
        <v>43411.3360300926</v>
      </c>
      <c r="H4" s="4"/>
    </row>
    <row r="5" spans="1:8">
      <c r="A5" s="5">
        <f t="shared" si="0"/>
        <v>4</v>
      </c>
      <c r="B5" s="19" t="s">
        <v>302</v>
      </c>
      <c r="C5" s="19" t="s">
        <v>303</v>
      </c>
      <c r="D5" s="20" t="s">
        <v>308</v>
      </c>
      <c r="E5" s="5" t="s">
        <v>170</v>
      </c>
      <c r="F5" s="21" t="s">
        <v>305</v>
      </c>
      <c r="G5" s="22">
        <v>43411.3363773148</v>
      </c>
      <c r="H5" s="4"/>
    </row>
    <row r="6" spans="1:8">
      <c r="A6" s="5">
        <f t="shared" si="0"/>
        <v>5</v>
      </c>
      <c r="B6" s="19" t="s">
        <v>309</v>
      </c>
      <c r="C6" s="19" t="s">
        <v>310</v>
      </c>
      <c r="D6" s="20" t="s">
        <v>311</v>
      </c>
      <c r="E6" s="5" t="s">
        <v>233</v>
      </c>
      <c r="F6" s="21" t="s">
        <v>305</v>
      </c>
      <c r="G6" s="22">
        <v>43411.3300115741</v>
      </c>
      <c r="H6" s="4"/>
    </row>
    <row r="7" spans="1:8">
      <c r="A7" s="5">
        <f t="shared" si="0"/>
        <v>6</v>
      </c>
      <c r="B7" s="19" t="s">
        <v>309</v>
      </c>
      <c r="C7" s="19" t="s">
        <v>310</v>
      </c>
      <c r="D7" s="20" t="s">
        <v>312</v>
      </c>
      <c r="E7" s="5" t="s">
        <v>234</v>
      </c>
      <c r="F7" s="21" t="s">
        <v>305</v>
      </c>
      <c r="G7" s="22">
        <v>43411.3303587963</v>
      </c>
      <c r="H7" s="4"/>
    </row>
    <row r="8" ht="15.6" spans="1:8">
      <c r="A8" s="5">
        <f t="shared" si="0"/>
        <v>7</v>
      </c>
      <c r="B8" s="19" t="s">
        <v>313</v>
      </c>
      <c r="C8" s="19" t="s">
        <v>314</v>
      </c>
      <c r="D8" s="20" t="s">
        <v>315</v>
      </c>
      <c r="E8" s="5" t="s">
        <v>143</v>
      </c>
      <c r="F8" s="5" t="s">
        <v>316</v>
      </c>
      <c r="G8" s="23" t="s">
        <v>317</v>
      </c>
      <c r="H8" s="4"/>
    </row>
    <row r="9" ht="15.6" spans="1:8">
      <c r="A9" s="5">
        <f t="shared" si="0"/>
        <v>8</v>
      </c>
      <c r="B9" s="19" t="s">
        <v>313</v>
      </c>
      <c r="C9" s="19" t="s">
        <v>314</v>
      </c>
      <c r="D9" s="20" t="s">
        <v>318</v>
      </c>
      <c r="E9" s="5" t="s">
        <v>145</v>
      </c>
      <c r="F9" s="5" t="s">
        <v>319</v>
      </c>
      <c r="G9" s="22">
        <v>43422.8564467593</v>
      </c>
      <c r="H9" s="24" t="s">
        <v>320</v>
      </c>
    </row>
    <row r="10" ht="15.6" spans="1:8">
      <c r="A10" s="5">
        <f t="shared" si="0"/>
        <v>9</v>
      </c>
      <c r="B10" s="19" t="s">
        <v>313</v>
      </c>
      <c r="C10" s="19" t="s">
        <v>303</v>
      </c>
      <c r="D10" s="20" t="s">
        <v>321</v>
      </c>
      <c r="E10" s="5" t="s">
        <v>155</v>
      </c>
      <c r="F10" s="5" t="s">
        <v>322</v>
      </c>
      <c r="G10" s="22">
        <v>43422.5877430556</v>
      </c>
      <c r="H10" s="24" t="s">
        <v>323</v>
      </c>
    </row>
    <row r="11" spans="1:8">
      <c r="A11" s="5">
        <f t="shared" si="0"/>
        <v>10</v>
      </c>
      <c r="B11" s="19" t="s">
        <v>302</v>
      </c>
      <c r="C11" s="19" t="s">
        <v>303</v>
      </c>
      <c r="D11" s="20" t="s">
        <v>324</v>
      </c>
      <c r="E11" s="5" t="s">
        <v>160</v>
      </c>
      <c r="F11" s="5" t="s">
        <v>322</v>
      </c>
      <c r="G11" s="22"/>
      <c r="H11" s="22">
        <v>43422.8979166667</v>
      </c>
    </row>
    <row r="12" spans="1:8">
      <c r="A12" s="5">
        <f t="shared" si="0"/>
        <v>11</v>
      </c>
      <c r="B12" s="19" t="s">
        <v>302</v>
      </c>
      <c r="C12" s="19" t="s">
        <v>303</v>
      </c>
      <c r="D12" s="20" t="s">
        <v>318</v>
      </c>
      <c r="E12" s="5" t="s">
        <v>161</v>
      </c>
      <c r="F12" s="5" t="s">
        <v>316</v>
      </c>
      <c r="G12" s="22">
        <v>43411.3262152778</v>
      </c>
      <c r="H12" s="4"/>
    </row>
    <row r="13" ht="15.6" spans="1:8">
      <c r="A13" s="5">
        <f t="shared" si="0"/>
        <v>12</v>
      </c>
      <c r="B13" s="19" t="s">
        <v>302</v>
      </c>
      <c r="C13" s="19" t="s">
        <v>303</v>
      </c>
      <c r="D13" s="20" t="s">
        <v>325</v>
      </c>
      <c r="E13" s="5" t="s">
        <v>162</v>
      </c>
      <c r="F13" s="5" t="s">
        <v>326</v>
      </c>
      <c r="G13" s="22">
        <v>43422.8145023148</v>
      </c>
      <c r="H13" s="24" t="s">
        <v>327</v>
      </c>
    </row>
    <row r="14" spans="1:8">
      <c r="A14" s="5">
        <f t="shared" si="0"/>
        <v>13</v>
      </c>
      <c r="B14" s="19" t="s">
        <v>302</v>
      </c>
      <c r="C14" s="19" t="s">
        <v>303</v>
      </c>
      <c r="D14" s="20" t="s">
        <v>328</v>
      </c>
      <c r="E14" s="5" t="s">
        <v>163</v>
      </c>
      <c r="F14" s="5" t="s">
        <v>329</v>
      </c>
      <c r="G14" s="22"/>
      <c r="H14" s="22">
        <v>43422.9199884259</v>
      </c>
    </row>
    <row r="15" spans="1:8">
      <c r="A15" s="5">
        <f t="shared" si="0"/>
        <v>14</v>
      </c>
      <c r="B15" s="19" t="s">
        <v>330</v>
      </c>
      <c r="C15" s="19" t="s">
        <v>331</v>
      </c>
      <c r="D15" s="20" t="s">
        <v>332</v>
      </c>
      <c r="E15" s="5" t="s">
        <v>184</v>
      </c>
      <c r="F15" s="5" t="s">
        <v>316</v>
      </c>
      <c r="G15" s="22">
        <v>43411.3343981481</v>
      </c>
      <c r="H15" s="4"/>
    </row>
    <row r="16" spans="1:8">
      <c r="A16" s="5">
        <f t="shared" si="0"/>
        <v>15</v>
      </c>
      <c r="B16" s="19" t="s">
        <v>330</v>
      </c>
      <c r="C16" s="19" t="s">
        <v>331</v>
      </c>
      <c r="D16" s="20" t="s">
        <v>306</v>
      </c>
      <c r="E16" s="5" t="s">
        <v>186</v>
      </c>
      <c r="F16" s="25" t="s">
        <v>333</v>
      </c>
      <c r="G16" s="22">
        <v>43411.3350925926</v>
      </c>
      <c r="H16" s="4"/>
    </row>
    <row r="17" spans="1:8">
      <c r="A17" s="5">
        <f t="shared" si="0"/>
        <v>16</v>
      </c>
      <c r="B17" s="19" t="s">
        <v>330</v>
      </c>
      <c r="C17" s="19" t="s">
        <v>331</v>
      </c>
      <c r="D17" s="20" t="s">
        <v>334</v>
      </c>
      <c r="E17" s="5" t="s">
        <v>187</v>
      </c>
      <c r="F17" s="25" t="s">
        <v>333</v>
      </c>
      <c r="G17" s="22">
        <v>43411.3354513889</v>
      </c>
      <c r="H17" s="4"/>
    </row>
    <row r="18" spans="1:8">
      <c r="A18" s="5">
        <f t="shared" si="0"/>
        <v>17</v>
      </c>
      <c r="B18" s="19" t="s">
        <v>330</v>
      </c>
      <c r="C18" s="19" t="s">
        <v>331</v>
      </c>
      <c r="D18" s="20" t="s">
        <v>335</v>
      </c>
      <c r="E18" s="5" t="s">
        <v>188</v>
      </c>
      <c r="F18" s="26" t="s">
        <v>336</v>
      </c>
      <c r="G18" s="22">
        <v>43411.3357986111</v>
      </c>
      <c r="H18" s="4"/>
    </row>
    <row r="19" spans="1:8">
      <c r="A19" s="5">
        <f t="shared" si="0"/>
        <v>18</v>
      </c>
      <c r="B19" s="19" t="s">
        <v>330</v>
      </c>
      <c r="C19" s="19" t="s">
        <v>331</v>
      </c>
      <c r="D19" s="20" t="s">
        <v>307</v>
      </c>
      <c r="E19" s="5" t="s">
        <v>189</v>
      </c>
      <c r="F19" s="26" t="s">
        <v>336</v>
      </c>
      <c r="G19" s="22">
        <v>43411.3361458333</v>
      </c>
      <c r="H19" s="4"/>
    </row>
    <row r="20" ht="15.6" spans="1:8">
      <c r="A20" s="5">
        <f t="shared" si="0"/>
        <v>19</v>
      </c>
      <c r="B20" s="19" t="s">
        <v>337</v>
      </c>
      <c r="C20" s="19" t="s">
        <v>338</v>
      </c>
      <c r="D20" s="20" t="s">
        <v>339</v>
      </c>
      <c r="E20" s="5" t="s">
        <v>191</v>
      </c>
      <c r="F20" s="5" t="s">
        <v>340</v>
      </c>
      <c r="G20" s="22">
        <v>43422.8044212963</v>
      </c>
      <c r="H20" s="24" t="s">
        <v>341</v>
      </c>
    </row>
    <row r="21" spans="1:8">
      <c r="A21" s="5">
        <f t="shared" si="0"/>
        <v>20</v>
      </c>
      <c r="B21" s="19" t="s">
        <v>337</v>
      </c>
      <c r="C21" s="19" t="s">
        <v>338</v>
      </c>
      <c r="D21" s="20" t="s">
        <v>332</v>
      </c>
      <c r="E21" s="5" t="s">
        <v>204</v>
      </c>
      <c r="F21" s="5" t="s">
        <v>316</v>
      </c>
      <c r="G21" s="22">
        <v>43411.3347337963</v>
      </c>
      <c r="H21" s="4"/>
    </row>
    <row r="22" spans="1:8">
      <c r="A22" s="5">
        <f t="shared" si="0"/>
        <v>21</v>
      </c>
      <c r="B22" s="19" t="s">
        <v>337</v>
      </c>
      <c r="C22" s="19" t="s">
        <v>338</v>
      </c>
      <c r="D22" s="20" t="s">
        <v>306</v>
      </c>
      <c r="E22" s="5" t="s">
        <v>206</v>
      </c>
      <c r="F22" s="5" t="s">
        <v>342</v>
      </c>
      <c r="G22" s="22">
        <v>43422.6554166667</v>
      </c>
      <c r="H22" s="4"/>
    </row>
    <row r="23" ht="15.6" spans="1:8">
      <c r="A23" s="5">
        <f t="shared" si="0"/>
        <v>22</v>
      </c>
      <c r="B23" s="19" t="s">
        <v>337</v>
      </c>
      <c r="C23" s="19" t="s">
        <v>338</v>
      </c>
      <c r="D23" s="20" t="s">
        <v>334</v>
      </c>
      <c r="E23" s="5" t="s">
        <v>207</v>
      </c>
      <c r="F23" s="5" t="s">
        <v>343</v>
      </c>
      <c r="G23" s="22">
        <v>43422.817037037</v>
      </c>
      <c r="H23" s="24" t="s">
        <v>344</v>
      </c>
    </row>
    <row r="24" spans="1:8">
      <c r="A24" s="5">
        <f t="shared" si="0"/>
        <v>23</v>
      </c>
      <c r="B24" s="19" t="s">
        <v>337</v>
      </c>
      <c r="C24" s="19" t="s">
        <v>338</v>
      </c>
      <c r="D24" s="20" t="s">
        <v>308</v>
      </c>
      <c r="E24" s="5" t="s">
        <v>210</v>
      </c>
      <c r="F24" s="5" t="s">
        <v>345</v>
      </c>
      <c r="G24" s="22">
        <v>43422.8110763889</v>
      </c>
      <c r="H24" s="4"/>
    </row>
    <row r="25" spans="1:8">
      <c r="A25" s="5">
        <f t="shared" si="0"/>
        <v>24</v>
      </c>
      <c r="B25" s="19" t="s">
        <v>346</v>
      </c>
      <c r="C25" s="19" t="s">
        <v>347</v>
      </c>
      <c r="D25" s="20" t="s">
        <v>315</v>
      </c>
      <c r="E25" s="5" t="s">
        <v>219</v>
      </c>
      <c r="F25" s="5" t="s">
        <v>316</v>
      </c>
      <c r="G25" s="22">
        <v>43411.3319444444</v>
      </c>
      <c r="H25" s="4"/>
    </row>
    <row r="26" spans="1:8">
      <c r="A26" s="5">
        <f t="shared" si="0"/>
        <v>25</v>
      </c>
      <c r="B26" s="19" t="s">
        <v>309</v>
      </c>
      <c r="C26" s="19" t="s">
        <v>310</v>
      </c>
      <c r="D26" s="20" t="s">
        <v>321</v>
      </c>
      <c r="E26" s="5" t="s">
        <v>235</v>
      </c>
      <c r="F26" s="25" t="s">
        <v>333</v>
      </c>
      <c r="G26" s="22">
        <v>43411.3307175926</v>
      </c>
      <c r="H26" s="4"/>
    </row>
    <row r="27" spans="1:8">
      <c r="A27" s="5">
        <f t="shared" si="0"/>
        <v>26</v>
      </c>
      <c r="B27" s="19" t="s">
        <v>309</v>
      </c>
      <c r="C27" s="19" t="s">
        <v>310</v>
      </c>
      <c r="D27" s="20" t="s">
        <v>348</v>
      </c>
      <c r="E27" s="5" t="s">
        <v>238</v>
      </c>
      <c r="F27" s="5" t="s">
        <v>316</v>
      </c>
      <c r="G27" s="22">
        <v>43411.3317708333</v>
      </c>
      <c r="H27" s="4"/>
    </row>
    <row r="28" ht="15.6" spans="1:8">
      <c r="A28" s="5">
        <f t="shared" si="0"/>
        <v>27</v>
      </c>
      <c r="B28" s="19" t="s">
        <v>309</v>
      </c>
      <c r="C28" s="19" t="s">
        <v>310</v>
      </c>
      <c r="D28" s="20" t="s">
        <v>306</v>
      </c>
      <c r="E28" s="5" t="s">
        <v>246</v>
      </c>
      <c r="F28" s="5" t="s">
        <v>349</v>
      </c>
      <c r="G28" s="22">
        <v>43422.6547685185</v>
      </c>
      <c r="H28" s="24" t="s">
        <v>350</v>
      </c>
    </row>
    <row r="29" spans="1:8">
      <c r="A29" s="5">
        <f t="shared" si="0"/>
        <v>28</v>
      </c>
      <c r="B29" s="19" t="s">
        <v>351</v>
      </c>
      <c r="C29" s="19" t="s">
        <v>352</v>
      </c>
      <c r="D29" s="20" t="s">
        <v>339</v>
      </c>
      <c r="E29" s="5" t="s">
        <v>251</v>
      </c>
      <c r="F29" s="25" t="s">
        <v>333</v>
      </c>
      <c r="G29" s="22">
        <v>43411.3291782407</v>
      </c>
      <c r="H29" s="4"/>
    </row>
    <row r="30" spans="1:8">
      <c r="A30" s="5">
        <f t="shared" si="0"/>
        <v>29</v>
      </c>
      <c r="B30" s="19" t="s">
        <v>351</v>
      </c>
      <c r="C30" s="19" t="s">
        <v>352</v>
      </c>
      <c r="D30" s="20" t="s">
        <v>353</v>
      </c>
      <c r="E30" s="5" t="s">
        <v>252</v>
      </c>
      <c r="F30" s="25" t="s">
        <v>333</v>
      </c>
      <c r="G30" s="22">
        <v>43411.329537037</v>
      </c>
      <c r="H30" s="4"/>
    </row>
    <row r="31" spans="1:8">
      <c r="A31" s="5">
        <f t="shared" si="0"/>
        <v>30</v>
      </c>
      <c r="B31" s="19" t="s">
        <v>351</v>
      </c>
      <c r="C31" s="19" t="s">
        <v>352</v>
      </c>
      <c r="D31" s="20" t="s">
        <v>311</v>
      </c>
      <c r="E31" s="5" t="s">
        <v>253</v>
      </c>
      <c r="F31" s="26" t="s">
        <v>336</v>
      </c>
      <c r="G31" s="22">
        <v>43411.3298842593</v>
      </c>
      <c r="H31" s="4"/>
    </row>
    <row r="32" spans="1:8">
      <c r="A32" s="5">
        <f t="shared" si="0"/>
        <v>31</v>
      </c>
      <c r="B32" s="19" t="s">
        <v>351</v>
      </c>
      <c r="C32" s="19" t="s">
        <v>352</v>
      </c>
      <c r="D32" s="20" t="s">
        <v>312</v>
      </c>
      <c r="E32" s="5" t="s">
        <v>254</v>
      </c>
      <c r="F32" s="26" t="s">
        <v>336</v>
      </c>
      <c r="G32" s="22">
        <v>43411.3302314815</v>
      </c>
      <c r="H32" s="4"/>
    </row>
    <row r="33" spans="1:8">
      <c r="A33" s="5">
        <f t="shared" si="0"/>
        <v>32</v>
      </c>
      <c r="B33" s="19" t="s">
        <v>351</v>
      </c>
      <c r="C33" s="19" t="s">
        <v>352</v>
      </c>
      <c r="D33" s="20" t="s">
        <v>354</v>
      </c>
      <c r="E33" s="5" t="s">
        <v>256</v>
      </c>
      <c r="F33" s="25" t="s">
        <v>333</v>
      </c>
      <c r="G33" s="22">
        <v>43411.3309375</v>
      </c>
      <c r="H33" s="4"/>
    </row>
    <row r="34" spans="1:8">
      <c r="A34" s="5">
        <f t="shared" si="0"/>
        <v>33</v>
      </c>
      <c r="B34" s="19" t="s">
        <v>351</v>
      </c>
      <c r="C34" s="19" t="s">
        <v>352</v>
      </c>
      <c r="D34" s="20" t="s">
        <v>355</v>
      </c>
      <c r="E34" s="5" t="s">
        <v>257</v>
      </c>
      <c r="F34" s="26" t="s">
        <v>336</v>
      </c>
      <c r="G34" s="22">
        <v>43411.3312847222</v>
      </c>
      <c r="H34" s="4"/>
    </row>
    <row r="35" spans="1:8">
      <c r="A35" s="5">
        <f t="shared" si="0"/>
        <v>34</v>
      </c>
      <c r="B35" s="19" t="s">
        <v>351</v>
      </c>
      <c r="C35" s="19" t="s">
        <v>352</v>
      </c>
      <c r="D35" s="20" t="s">
        <v>348</v>
      </c>
      <c r="E35" s="5" t="s">
        <v>258</v>
      </c>
      <c r="F35" s="26" t="s">
        <v>336</v>
      </c>
      <c r="G35" s="22">
        <v>43411.3316319444</v>
      </c>
      <c r="H35" s="4"/>
    </row>
    <row r="36" spans="1:8">
      <c r="A36" s="5">
        <f t="shared" si="0"/>
        <v>35</v>
      </c>
      <c r="B36" s="19" t="s">
        <v>351</v>
      </c>
      <c r="C36" s="19" t="s">
        <v>352</v>
      </c>
      <c r="D36" s="20" t="s">
        <v>325</v>
      </c>
      <c r="E36" s="5" t="s">
        <v>262</v>
      </c>
      <c r="F36" s="5" t="s">
        <v>316</v>
      </c>
      <c r="G36" s="22">
        <v>43411.3330324074</v>
      </c>
      <c r="H36" s="4"/>
    </row>
    <row r="37" spans="1:8">
      <c r="A37" s="5">
        <f t="shared" si="0"/>
        <v>36</v>
      </c>
      <c r="B37" s="19" t="s">
        <v>356</v>
      </c>
      <c r="C37" s="19" t="s">
        <v>357</v>
      </c>
      <c r="D37" s="20" t="s">
        <v>358</v>
      </c>
      <c r="E37" s="5" t="s">
        <v>285</v>
      </c>
      <c r="F37" s="5" t="s">
        <v>316</v>
      </c>
      <c r="G37" s="22">
        <v>43411.3354166667</v>
      </c>
      <c r="H37" s="4"/>
    </row>
    <row r="40" ht="15.6" spans="2:6">
      <c r="B40" s="19"/>
      <c r="C40" s="27" t="s">
        <v>359</v>
      </c>
      <c r="D40" s="27" t="s">
        <v>360</v>
      </c>
      <c r="E40" s="27" t="s">
        <v>361</v>
      </c>
      <c r="F40" s="28" t="s">
        <v>362</v>
      </c>
    </row>
    <row r="41" ht="15.6" spans="2:6">
      <c r="B41" s="29">
        <v>43422</v>
      </c>
      <c r="C41" s="19">
        <v>33</v>
      </c>
      <c r="D41" s="30">
        <f>C41/159</f>
        <v>0.207547169811321</v>
      </c>
      <c r="E41" s="19">
        <v>13</v>
      </c>
      <c r="F41" s="5" t="s">
        <v>363</v>
      </c>
    </row>
    <row r="42" ht="15.6" spans="2:6">
      <c r="B42" s="29">
        <v>43423</v>
      </c>
      <c r="C42" s="19">
        <v>29</v>
      </c>
      <c r="D42" s="30">
        <f>C42/159</f>
        <v>0.182389937106918</v>
      </c>
      <c r="E42" s="19">
        <v>13</v>
      </c>
      <c r="F42" s="5" t="s">
        <v>363</v>
      </c>
    </row>
  </sheetData>
  <autoFilter xmlns:etc="http://www.wps.cn/officeDocument/2017/etCustomData" ref="B1:H37" etc:filterBottomFollowUsedRange="0">
    <sortState ref="B1:H37">
      <sortCondition ref="F1:F37" sortBy="cellColor" dxfId="0"/>
    </sortState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8"/>
  <sheetViews>
    <sheetView topLeftCell="A46" workbookViewId="0">
      <selection activeCell="O64" sqref="O64"/>
    </sheetView>
  </sheetViews>
  <sheetFormatPr defaultColWidth="9" defaultRowHeight="13.8"/>
  <cols>
    <col min="1" max="1" width="11.1111111111111" customWidth="1"/>
  </cols>
  <sheetData>
    <row r="1" spans="1:1">
      <c r="A1" s="15">
        <v>43422</v>
      </c>
    </row>
    <row r="24" spans="1:1">
      <c r="A24" s="15">
        <v>43422</v>
      </c>
    </row>
    <row r="58" spans="1:1">
      <c r="A58" t="s">
        <v>160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D14" sqref="D14"/>
    </sheetView>
  </sheetViews>
  <sheetFormatPr defaultColWidth="9" defaultRowHeight="15.6"/>
  <cols>
    <col min="1" max="1" width="11.4444444444444" style="7" customWidth="1"/>
    <col min="2" max="2" width="14.8888888888889" style="7" customWidth="1"/>
    <col min="3" max="3" width="5.44444444444444" style="7" customWidth="1"/>
    <col min="4" max="4" width="23.8888888888889" style="7" customWidth="1"/>
    <col min="5" max="5" width="11.4444444444444" style="7" customWidth="1"/>
    <col min="6" max="6" width="7.33333333333333" style="7" customWidth="1"/>
    <col min="7" max="7" width="14" style="7" customWidth="1"/>
    <col min="8" max="8" width="16.6666666666667" style="7" customWidth="1"/>
    <col min="9" max="9" width="14.2222222222222" style="7" customWidth="1"/>
    <col min="10" max="16384" width="9" style="7"/>
  </cols>
  <sheetData>
    <row r="1" ht="49.5" customHeight="1" spans="1: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4" t="s">
        <v>8</v>
      </c>
    </row>
    <row r="2" ht="27.6" spans="1:9">
      <c r="A2" s="9" t="s">
        <v>364</v>
      </c>
      <c r="B2" s="9" t="s">
        <v>11</v>
      </c>
      <c r="C2" s="9" t="s">
        <v>12</v>
      </c>
      <c r="D2" s="9" t="s">
        <v>314</v>
      </c>
      <c r="E2" s="9" t="s">
        <v>365</v>
      </c>
      <c r="F2" s="9">
        <v>16</v>
      </c>
      <c r="G2" s="10">
        <f>F2*0.5</f>
        <v>8</v>
      </c>
      <c r="H2" s="9">
        <f>24*60/G2</f>
        <v>180</v>
      </c>
      <c r="I2" s="9">
        <f>H2*F2</f>
        <v>2880</v>
      </c>
    </row>
    <row r="3" ht="27.6" spans="1:9">
      <c r="A3" s="11" t="s">
        <v>366</v>
      </c>
      <c r="B3" s="11" t="s">
        <v>11</v>
      </c>
      <c r="C3" s="11" t="s">
        <v>12</v>
      </c>
      <c r="D3" s="11" t="s">
        <v>303</v>
      </c>
      <c r="E3" s="11" t="s">
        <v>53</v>
      </c>
      <c r="F3" s="11">
        <v>20</v>
      </c>
      <c r="G3" s="10">
        <f t="shared" ref="G3:G9" si="0">F3*0.5</f>
        <v>10</v>
      </c>
      <c r="H3" s="9">
        <f t="shared" ref="H3:H9" si="1">24*60/G3</f>
        <v>144</v>
      </c>
      <c r="I3" s="9">
        <f t="shared" ref="I3:I9" si="2">H3*F3</f>
        <v>2880</v>
      </c>
    </row>
    <row r="4" ht="27.6" spans="1:9">
      <c r="A4" s="12" t="s">
        <v>367</v>
      </c>
      <c r="B4" s="12" t="s">
        <v>11</v>
      </c>
      <c r="C4" s="12" t="s">
        <v>12</v>
      </c>
      <c r="D4" s="12" t="s">
        <v>331</v>
      </c>
      <c r="E4" s="12" t="s">
        <v>368</v>
      </c>
      <c r="F4" s="12">
        <v>20</v>
      </c>
      <c r="G4" s="10">
        <f t="shared" si="0"/>
        <v>10</v>
      </c>
      <c r="H4" s="9">
        <f t="shared" si="1"/>
        <v>144</v>
      </c>
      <c r="I4" s="9">
        <f t="shared" si="2"/>
        <v>2880</v>
      </c>
    </row>
    <row r="5" ht="27.6" spans="1:9">
      <c r="A5" s="11" t="s">
        <v>369</v>
      </c>
      <c r="B5" s="11" t="s">
        <v>11</v>
      </c>
      <c r="C5" s="11" t="s">
        <v>12</v>
      </c>
      <c r="D5" s="11" t="s">
        <v>338</v>
      </c>
      <c r="E5" s="11" t="s">
        <v>50</v>
      </c>
      <c r="F5" s="11">
        <v>20</v>
      </c>
      <c r="G5" s="10">
        <f t="shared" si="0"/>
        <v>10</v>
      </c>
      <c r="H5" s="9">
        <f t="shared" si="1"/>
        <v>144</v>
      </c>
      <c r="I5" s="9">
        <f t="shared" si="2"/>
        <v>2880</v>
      </c>
    </row>
    <row r="6" ht="27.6" spans="1:9">
      <c r="A6" s="12" t="s">
        <v>370</v>
      </c>
      <c r="B6" s="12" t="s">
        <v>118</v>
      </c>
      <c r="C6" s="12" t="s">
        <v>12</v>
      </c>
      <c r="D6" s="12" t="s">
        <v>347</v>
      </c>
      <c r="E6" s="12" t="s">
        <v>371</v>
      </c>
      <c r="F6" s="12">
        <v>20</v>
      </c>
      <c r="G6" s="10">
        <f t="shared" si="0"/>
        <v>10</v>
      </c>
      <c r="H6" s="9">
        <f t="shared" si="1"/>
        <v>144</v>
      </c>
      <c r="I6" s="9">
        <f t="shared" si="2"/>
        <v>2880</v>
      </c>
    </row>
    <row r="7" ht="27.6" spans="1:9">
      <c r="A7" s="11" t="s">
        <v>372</v>
      </c>
      <c r="B7" s="11" t="s">
        <v>118</v>
      </c>
      <c r="C7" s="11" t="s">
        <v>12</v>
      </c>
      <c r="D7" s="11" t="s">
        <v>310</v>
      </c>
      <c r="E7" s="11" t="s">
        <v>373</v>
      </c>
      <c r="F7" s="11">
        <v>20</v>
      </c>
      <c r="G7" s="10">
        <f t="shared" si="0"/>
        <v>10</v>
      </c>
      <c r="H7" s="9">
        <f t="shared" si="1"/>
        <v>144</v>
      </c>
      <c r="I7" s="9">
        <f t="shared" si="2"/>
        <v>2880</v>
      </c>
    </row>
    <row r="8" ht="27.6" spans="1:9">
      <c r="A8" s="12" t="s">
        <v>374</v>
      </c>
      <c r="B8" s="12" t="s">
        <v>118</v>
      </c>
      <c r="C8" s="12" t="s">
        <v>12</v>
      </c>
      <c r="D8" s="12" t="s">
        <v>352</v>
      </c>
      <c r="E8" s="12" t="s">
        <v>375</v>
      </c>
      <c r="F8" s="12">
        <v>21</v>
      </c>
      <c r="G8" s="10">
        <f t="shared" si="0"/>
        <v>10.5</v>
      </c>
      <c r="H8" s="10">
        <f t="shared" si="1"/>
        <v>137.142857142857</v>
      </c>
      <c r="I8" s="10">
        <f t="shared" si="2"/>
        <v>2880</v>
      </c>
    </row>
    <row r="9" ht="27.6" spans="1:9">
      <c r="A9" s="11" t="s">
        <v>376</v>
      </c>
      <c r="B9" s="11" t="s">
        <v>118</v>
      </c>
      <c r="C9" s="11" t="s">
        <v>12</v>
      </c>
      <c r="D9" s="11" t="s">
        <v>357</v>
      </c>
      <c r="E9" s="11" t="s">
        <v>377</v>
      </c>
      <c r="F9" s="11">
        <v>22</v>
      </c>
      <c r="G9" s="10">
        <f t="shared" si="0"/>
        <v>11</v>
      </c>
      <c r="H9" s="10">
        <f t="shared" si="1"/>
        <v>130.909090909091</v>
      </c>
      <c r="I9" s="10">
        <f t="shared" si="2"/>
        <v>2880</v>
      </c>
    </row>
    <row r="10" ht="16.2" spans="1:9">
      <c r="A10" s="1"/>
      <c r="B10" s="1"/>
      <c r="C10" s="1"/>
      <c r="D10" s="1"/>
      <c r="E10" s="13" t="s">
        <v>378</v>
      </c>
      <c r="F10" s="13">
        <f>SUM(F2:F9)</f>
        <v>159</v>
      </c>
      <c r="G10" s="13"/>
      <c r="H10" s="13"/>
      <c r="I10" s="13">
        <f>SUM(I2:I9)</f>
        <v>23040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0"/>
  <sheetViews>
    <sheetView topLeftCell="A4" workbookViewId="0">
      <selection activeCell="I9" sqref="I9"/>
    </sheetView>
  </sheetViews>
  <sheetFormatPr defaultColWidth="9" defaultRowHeight="14.4" outlineLevelCol="4"/>
  <cols>
    <col min="1" max="1" width="24.7777777777778" style="1" customWidth="1"/>
    <col min="2" max="2" width="10.2222222222222" style="1" customWidth="1"/>
    <col min="3" max="3" width="8.33333333333333" style="1" customWidth="1"/>
    <col min="4" max="4" width="12.3333333333333" style="2" customWidth="1"/>
    <col min="5" max="5" width="6.44444444444444" style="1" customWidth="1"/>
    <col min="6" max="16384" width="9" style="1"/>
  </cols>
  <sheetData>
    <row r="1" spans="1:5">
      <c r="A1" s="3" t="s">
        <v>379</v>
      </c>
      <c r="B1" s="3" t="s">
        <v>295</v>
      </c>
      <c r="C1" s="3" t="s">
        <v>0</v>
      </c>
      <c r="D1" s="3" t="s">
        <v>380</v>
      </c>
      <c r="E1" s="3" t="s">
        <v>381</v>
      </c>
    </row>
    <row r="2" spans="1:5">
      <c r="A2" s="4" t="s">
        <v>314</v>
      </c>
      <c r="B2" s="4" t="s">
        <v>313</v>
      </c>
      <c r="C2" s="4" t="s">
        <v>135</v>
      </c>
      <c r="D2" s="5">
        <v>0</v>
      </c>
      <c r="E2" s="4">
        <v>0.189</v>
      </c>
    </row>
    <row r="3" spans="1:5">
      <c r="A3" s="4" t="s">
        <v>314</v>
      </c>
      <c r="B3" s="4" t="s">
        <v>313</v>
      </c>
      <c r="C3" s="4" t="s">
        <v>136</v>
      </c>
      <c r="D3" s="5">
        <v>100</v>
      </c>
      <c r="E3" s="4">
        <v>0.189</v>
      </c>
    </row>
    <row r="4" spans="1:5">
      <c r="A4" s="4" t="s">
        <v>314</v>
      </c>
      <c r="B4" s="4" t="s">
        <v>313</v>
      </c>
      <c r="C4" s="4" t="s">
        <v>137</v>
      </c>
      <c r="D4" s="5">
        <v>200</v>
      </c>
      <c r="E4" s="4">
        <v>0.189</v>
      </c>
    </row>
    <row r="5" spans="1:5">
      <c r="A5" s="4" t="s">
        <v>314</v>
      </c>
      <c r="B5" s="4" t="s">
        <v>313</v>
      </c>
      <c r="C5" s="4" t="s">
        <v>138</v>
      </c>
      <c r="D5" s="5">
        <v>300</v>
      </c>
      <c r="E5" s="4">
        <v>0.189</v>
      </c>
    </row>
    <row r="6" spans="1:5">
      <c r="A6" s="4" t="s">
        <v>314</v>
      </c>
      <c r="B6" s="4" t="s">
        <v>313</v>
      </c>
      <c r="C6" s="4" t="s">
        <v>139</v>
      </c>
      <c r="D6" s="5">
        <v>400</v>
      </c>
      <c r="E6" s="4">
        <v>0.189</v>
      </c>
    </row>
    <row r="7" spans="1:5">
      <c r="A7" s="4" t="s">
        <v>314</v>
      </c>
      <c r="B7" s="4" t="s">
        <v>313</v>
      </c>
      <c r="C7" s="4" t="s">
        <v>140</v>
      </c>
      <c r="D7" s="5">
        <v>500</v>
      </c>
      <c r="E7" s="4">
        <v>0.189</v>
      </c>
    </row>
    <row r="8" spans="1:5">
      <c r="A8" s="4" t="s">
        <v>314</v>
      </c>
      <c r="B8" s="4" t="s">
        <v>313</v>
      </c>
      <c r="C8" s="4" t="s">
        <v>141</v>
      </c>
      <c r="D8" s="5">
        <v>600</v>
      </c>
      <c r="E8" s="4">
        <v>0.189</v>
      </c>
    </row>
    <row r="9" spans="1:5">
      <c r="A9" s="4" t="s">
        <v>314</v>
      </c>
      <c r="B9" s="4" t="s">
        <v>313</v>
      </c>
      <c r="C9" s="4" t="s">
        <v>142</v>
      </c>
      <c r="D9" s="5">
        <v>700</v>
      </c>
      <c r="E9" s="4">
        <v>0.189</v>
      </c>
    </row>
    <row r="10" spans="1:5">
      <c r="A10" s="4" t="s">
        <v>314</v>
      </c>
      <c r="B10" s="4" t="s">
        <v>313</v>
      </c>
      <c r="C10" s="4" t="s">
        <v>143</v>
      </c>
      <c r="D10" s="5">
        <v>800</v>
      </c>
      <c r="E10" s="4">
        <v>0.189</v>
      </c>
    </row>
    <row r="11" spans="1:5">
      <c r="A11" s="4" t="s">
        <v>314</v>
      </c>
      <c r="B11" s="4" t="s">
        <v>313</v>
      </c>
      <c r="C11" s="4" t="s">
        <v>144</v>
      </c>
      <c r="D11" s="5">
        <v>900</v>
      </c>
      <c r="E11" s="4">
        <v>0.189</v>
      </c>
    </row>
    <row r="12" spans="1:5">
      <c r="A12" s="4" t="s">
        <v>314</v>
      </c>
      <c r="B12" s="4" t="s">
        <v>313</v>
      </c>
      <c r="C12" s="4" t="s">
        <v>145</v>
      </c>
      <c r="D12" s="5" t="s">
        <v>318</v>
      </c>
      <c r="E12" s="4">
        <v>0.189</v>
      </c>
    </row>
    <row r="13" spans="1:5">
      <c r="A13" s="4" t="s">
        <v>314</v>
      </c>
      <c r="B13" s="4" t="s">
        <v>313</v>
      </c>
      <c r="C13" s="4" t="s">
        <v>146</v>
      </c>
      <c r="D13" s="5" t="s">
        <v>325</v>
      </c>
      <c r="E13" s="4">
        <v>0.189</v>
      </c>
    </row>
    <row r="14" spans="1:5">
      <c r="A14" s="4" t="s">
        <v>314</v>
      </c>
      <c r="B14" s="4" t="s">
        <v>313</v>
      </c>
      <c r="C14" s="4" t="s">
        <v>147</v>
      </c>
      <c r="D14" s="5" t="s">
        <v>328</v>
      </c>
      <c r="E14" s="4">
        <v>0.189</v>
      </c>
    </row>
    <row r="15" spans="1:5">
      <c r="A15" s="4" t="s">
        <v>314</v>
      </c>
      <c r="B15" s="4" t="s">
        <v>313</v>
      </c>
      <c r="C15" s="4" t="s">
        <v>148</v>
      </c>
      <c r="D15" s="5" t="s">
        <v>332</v>
      </c>
      <c r="E15" s="4">
        <v>0.189</v>
      </c>
    </row>
    <row r="16" spans="1:5">
      <c r="A16" s="4" t="s">
        <v>314</v>
      </c>
      <c r="B16" s="4" t="s">
        <v>313</v>
      </c>
      <c r="C16" s="4" t="s">
        <v>149</v>
      </c>
      <c r="D16" s="6">
        <v>0</v>
      </c>
      <c r="E16" s="4">
        <v>0.189</v>
      </c>
    </row>
    <row r="17" spans="1:5">
      <c r="A17" s="4" t="s">
        <v>314</v>
      </c>
      <c r="B17" s="4" t="s">
        <v>313</v>
      </c>
      <c r="C17" s="4" t="s">
        <v>150</v>
      </c>
      <c r="D17" s="5" t="s">
        <v>306</v>
      </c>
      <c r="E17" s="4">
        <v>0.189</v>
      </c>
    </row>
    <row r="18" spans="1:5">
      <c r="A18" s="4" t="s">
        <v>303</v>
      </c>
      <c r="B18" s="4" t="s">
        <v>302</v>
      </c>
      <c r="C18" s="4" t="s">
        <v>151</v>
      </c>
      <c r="D18" s="5">
        <v>0</v>
      </c>
      <c r="E18" s="4">
        <v>0.189</v>
      </c>
    </row>
    <row r="19" spans="1:5">
      <c r="A19" s="4" t="s">
        <v>303</v>
      </c>
      <c r="B19" s="4" t="s">
        <v>302</v>
      </c>
      <c r="C19" s="4" t="s">
        <v>152</v>
      </c>
      <c r="D19" s="5">
        <v>100</v>
      </c>
      <c r="E19" s="4">
        <v>0.189</v>
      </c>
    </row>
    <row r="20" spans="1:5">
      <c r="A20" s="4" t="s">
        <v>303</v>
      </c>
      <c r="B20" s="4" t="s">
        <v>302</v>
      </c>
      <c r="C20" s="4" t="s">
        <v>153</v>
      </c>
      <c r="D20" s="5">
        <v>200</v>
      </c>
      <c r="E20" s="4">
        <v>0.189</v>
      </c>
    </row>
    <row r="21" spans="1:5">
      <c r="A21" s="4" t="s">
        <v>303</v>
      </c>
      <c r="B21" s="4" t="s">
        <v>302</v>
      </c>
      <c r="C21" s="4" t="s">
        <v>154</v>
      </c>
      <c r="D21" s="5">
        <v>300</v>
      </c>
      <c r="E21" s="4">
        <v>0.189</v>
      </c>
    </row>
    <row r="22" spans="1:5">
      <c r="A22" s="4" t="s">
        <v>303</v>
      </c>
      <c r="B22" s="4" t="s">
        <v>302</v>
      </c>
      <c r="C22" s="4" t="s">
        <v>155</v>
      </c>
      <c r="D22" s="5">
        <v>400</v>
      </c>
      <c r="E22" s="4">
        <v>0.189</v>
      </c>
    </row>
    <row r="23" spans="1:5">
      <c r="A23" s="4" t="s">
        <v>303</v>
      </c>
      <c r="B23" s="4" t="s">
        <v>302</v>
      </c>
      <c r="C23" s="4" t="s">
        <v>156</v>
      </c>
      <c r="D23" s="5">
        <v>500</v>
      </c>
      <c r="E23" s="4">
        <v>0.189</v>
      </c>
    </row>
    <row r="24" spans="1:5">
      <c r="A24" s="4" t="s">
        <v>303</v>
      </c>
      <c r="B24" s="4" t="s">
        <v>302</v>
      </c>
      <c r="C24" s="4" t="s">
        <v>157</v>
      </c>
      <c r="D24" s="5">
        <v>600</v>
      </c>
      <c r="E24" s="4">
        <v>0.189</v>
      </c>
    </row>
    <row r="25" spans="1:5">
      <c r="A25" s="4" t="s">
        <v>303</v>
      </c>
      <c r="B25" s="4" t="s">
        <v>302</v>
      </c>
      <c r="C25" s="4" t="s">
        <v>158</v>
      </c>
      <c r="D25" s="5">
        <v>700</v>
      </c>
      <c r="E25" s="4">
        <v>0.189</v>
      </c>
    </row>
    <row r="26" spans="1:5">
      <c r="A26" s="4" t="s">
        <v>303</v>
      </c>
      <c r="B26" s="4" t="s">
        <v>302</v>
      </c>
      <c r="C26" s="4" t="s">
        <v>159</v>
      </c>
      <c r="D26" s="5">
        <v>800</v>
      </c>
      <c r="E26" s="4">
        <v>0.189</v>
      </c>
    </row>
    <row r="27" spans="1:5">
      <c r="A27" s="4" t="s">
        <v>303</v>
      </c>
      <c r="B27" s="4" t="s">
        <v>302</v>
      </c>
      <c r="C27" s="4" t="s">
        <v>160</v>
      </c>
      <c r="D27" s="5">
        <v>900</v>
      </c>
      <c r="E27" s="4">
        <v>0.189</v>
      </c>
    </row>
    <row r="28" spans="1:5">
      <c r="A28" s="4" t="s">
        <v>303</v>
      </c>
      <c r="B28" s="4" t="s">
        <v>302</v>
      </c>
      <c r="C28" s="4" t="s">
        <v>161</v>
      </c>
      <c r="D28" s="5" t="s">
        <v>318</v>
      </c>
      <c r="E28" s="4">
        <v>0.189</v>
      </c>
    </row>
    <row r="29" spans="1:5">
      <c r="A29" s="4" t="s">
        <v>303</v>
      </c>
      <c r="B29" s="4" t="s">
        <v>302</v>
      </c>
      <c r="C29" s="4" t="s">
        <v>162</v>
      </c>
      <c r="D29" s="5" t="s">
        <v>325</v>
      </c>
      <c r="E29" s="4">
        <v>0.189</v>
      </c>
    </row>
    <row r="30" spans="1:5">
      <c r="A30" s="4" t="s">
        <v>303</v>
      </c>
      <c r="B30" s="4" t="s">
        <v>302</v>
      </c>
      <c r="C30" s="4" t="s">
        <v>163</v>
      </c>
      <c r="D30" s="5" t="s">
        <v>328</v>
      </c>
      <c r="E30" s="4">
        <v>0.189</v>
      </c>
    </row>
    <row r="31" spans="1:5">
      <c r="A31" s="4" t="s">
        <v>303</v>
      </c>
      <c r="B31" s="4" t="s">
        <v>302</v>
      </c>
      <c r="C31" s="4" t="s">
        <v>164</v>
      </c>
      <c r="D31" s="5" t="s">
        <v>332</v>
      </c>
      <c r="E31" s="4">
        <v>0.189</v>
      </c>
    </row>
    <row r="32" spans="1:5">
      <c r="A32" s="4" t="s">
        <v>303</v>
      </c>
      <c r="B32" s="4" t="s">
        <v>302</v>
      </c>
      <c r="C32" s="4" t="s">
        <v>165</v>
      </c>
      <c r="D32" s="6">
        <v>0</v>
      </c>
      <c r="E32" s="4">
        <v>0.189</v>
      </c>
    </row>
    <row r="33" spans="1:5">
      <c r="A33" s="4" t="s">
        <v>303</v>
      </c>
      <c r="B33" s="4" t="s">
        <v>302</v>
      </c>
      <c r="C33" s="4" t="s">
        <v>166</v>
      </c>
      <c r="D33" s="5" t="s">
        <v>306</v>
      </c>
      <c r="E33" s="4">
        <v>0.189</v>
      </c>
    </row>
    <row r="34" spans="1:5">
      <c r="A34" s="4" t="s">
        <v>303</v>
      </c>
      <c r="B34" s="4" t="s">
        <v>302</v>
      </c>
      <c r="C34" s="4" t="s">
        <v>167</v>
      </c>
      <c r="D34" s="5">
        <v>1000</v>
      </c>
      <c r="E34" s="4">
        <v>0.189</v>
      </c>
    </row>
    <row r="35" spans="1:5">
      <c r="A35" s="4" t="s">
        <v>303</v>
      </c>
      <c r="B35" s="4" t="s">
        <v>302</v>
      </c>
      <c r="C35" s="4" t="s">
        <v>168</v>
      </c>
      <c r="D35" s="5">
        <v>1100</v>
      </c>
      <c r="E35" s="4">
        <v>0.189</v>
      </c>
    </row>
    <row r="36" spans="1:5">
      <c r="A36" s="4" t="s">
        <v>303</v>
      </c>
      <c r="B36" s="4" t="s">
        <v>302</v>
      </c>
      <c r="C36" s="4" t="s">
        <v>169</v>
      </c>
      <c r="D36" s="5">
        <v>1200</v>
      </c>
      <c r="E36" s="4">
        <v>0.189</v>
      </c>
    </row>
    <row r="37" spans="1:5">
      <c r="A37" s="4" t="s">
        <v>303</v>
      </c>
      <c r="B37" s="4" t="s">
        <v>302</v>
      </c>
      <c r="C37" s="4" t="s">
        <v>170</v>
      </c>
      <c r="D37" s="5">
        <v>1300</v>
      </c>
      <c r="E37" s="4">
        <v>0.189</v>
      </c>
    </row>
    <row r="38" spans="1:5">
      <c r="A38" s="4" t="s">
        <v>331</v>
      </c>
      <c r="B38" s="4" t="s">
        <v>330</v>
      </c>
      <c r="C38" s="4" t="s">
        <v>171</v>
      </c>
      <c r="D38" s="5">
        <v>0</v>
      </c>
      <c r="E38" s="4">
        <v>0.189</v>
      </c>
    </row>
    <row r="39" spans="1:5">
      <c r="A39" s="4" t="s">
        <v>331</v>
      </c>
      <c r="B39" s="4" t="s">
        <v>330</v>
      </c>
      <c r="C39" s="4" t="s">
        <v>172</v>
      </c>
      <c r="D39" s="5">
        <v>100</v>
      </c>
      <c r="E39" s="4">
        <v>0.189</v>
      </c>
    </row>
    <row r="40" spans="1:5">
      <c r="A40" s="4" t="s">
        <v>331</v>
      </c>
      <c r="B40" s="4" t="s">
        <v>330</v>
      </c>
      <c r="C40" s="4" t="s">
        <v>173</v>
      </c>
      <c r="D40" s="5">
        <v>200</v>
      </c>
      <c r="E40" s="4">
        <v>0.189</v>
      </c>
    </row>
    <row r="41" spans="1:5">
      <c r="A41" s="4" t="s">
        <v>331</v>
      </c>
      <c r="B41" s="4" t="s">
        <v>330</v>
      </c>
      <c r="C41" s="4" t="s">
        <v>174</v>
      </c>
      <c r="D41" s="5">
        <v>300</v>
      </c>
      <c r="E41" s="4">
        <v>0.189</v>
      </c>
    </row>
    <row r="42" spans="1:5">
      <c r="A42" s="4" t="s">
        <v>331</v>
      </c>
      <c r="B42" s="4" t="s">
        <v>330</v>
      </c>
      <c r="C42" s="4" t="s">
        <v>175</v>
      </c>
      <c r="D42" s="5">
        <v>400</v>
      </c>
      <c r="E42" s="4">
        <v>0.189</v>
      </c>
    </row>
    <row r="43" spans="1:5">
      <c r="A43" s="4" t="s">
        <v>331</v>
      </c>
      <c r="B43" s="4" t="s">
        <v>330</v>
      </c>
      <c r="C43" s="4" t="s">
        <v>176</v>
      </c>
      <c r="D43" s="5">
        <v>500</v>
      </c>
      <c r="E43" s="4">
        <v>0.189</v>
      </c>
    </row>
    <row r="44" spans="1:5">
      <c r="A44" s="4" t="s">
        <v>331</v>
      </c>
      <c r="B44" s="4" t="s">
        <v>330</v>
      </c>
      <c r="C44" s="4" t="s">
        <v>177</v>
      </c>
      <c r="D44" s="5">
        <v>600</v>
      </c>
      <c r="E44" s="4">
        <v>0.189</v>
      </c>
    </row>
    <row r="45" spans="1:5">
      <c r="A45" s="4" t="s">
        <v>331</v>
      </c>
      <c r="B45" s="4" t="s">
        <v>330</v>
      </c>
      <c r="C45" s="4" t="s">
        <v>178</v>
      </c>
      <c r="D45" s="5">
        <v>700</v>
      </c>
      <c r="E45" s="4">
        <v>0.189</v>
      </c>
    </row>
    <row r="46" spans="1:5">
      <c r="A46" s="4" t="s">
        <v>331</v>
      </c>
      <c r="B46" s="4" t="s">
        <v>330</v>
      </c>
      <c r="C46" s="4" t="s">
        <v>179</v>
      </c>
      <c r="D46" s="5">
        <v>800</v>
      </c>
      <c r="E46" s="4">
        <v>0.189</v>
      </c>
    </row>
    <row r="47" spans="1:5">
      <c r="A47" s="4" t="s">
        <v>331</v>
      </c>
      <c r="B47" s="4" t="s">
        <v>330</v>
      </c>
      <c r="C47" s="4" t="s">
        <v>180</v>
      </c>
      <c r="D47" s="5">
        <v>900</v>
      </c>
      <c r="E47" s="4">
        <v>0.189</v>
      </c>
    </row>
    <row r="48" spans="1:5">
      <c r="A48" s="4" t="s">
        <v>331</v>
      </c>
      <c r="B48" s="4" t="s">
        <v>330</v>
      </c>
      <c r="C48" s="4" t="s">
        <v>181</v>
      </c>
      <c r="D48" s="5" t="s">
        <v>318</v>
      </c>
      <c r="E48" s="4">
        <v>0.189</v>
      </c>
    </row>
    <row r="49" spans="1:5">
      <c r="A49" s="4" t="s">
        <v>331</v>
      </c>
      <c r="B49" s="4" t="s">
        <v>330</v>
      </c>
      <c r="C49" s="4" t="s">
        <v>182</v>
      </c>
      <c r="D49" s="5" t="s">
        <v>325</v>
      </c>
      <c r="E49" s="4">
        <v>0.189</v>
      </c>
    </row>
    <row r="50" spans="1:5">
      <c r="A50" s="4" t="s">
        <v>331</v>
      </c>
      <c r="B50" s="4" t="s">
        <v>330</v>
      </c>
      <c r="C50" s="4" t="s">
        <v>183</v>
      </c>
      <c r="D50" s="5" t="s">
        <v>328</v>
      </c>
      <c r="E50" s="4">
        <v>0.189</v>
      </c>
    </row>
    <row r="51" spans="1:5">
      <c r="A51" s="4" t="s">
        <v>331</v>
      </c>
      <c r="B51" s="4" t="s">
        <v>330</v>
      </c>
      <c r="C51" s="4" t="s">
        <v>184</v>
      </c>
      <c r="D51" s="5" t="s">
        <v>332</v>
      </c>
      <c r="E51" s="4">
        <v>0.189</v>
      </c>
    </row>
    <row r="52" spans="1:5">
      <c r="A52" s="4" t="s">
        <v>331</v>
      </c>
      <c r="B52" s="4" t="s">
        <v>330</v>
      </c>
      <c r="C52" s="4" t="s">
        <v>185</v>
      </c>
      <c r="D52" s="6">
        <v>0</v>
      </c>
      <c r="E52" s="4">
        <v>0.189</v>
      </c>
    </row>
    <row r="53" spans="1:5">
      <c r="A53" s="4" t="s">
        <v>331</v>
      </c>
      <c r="B53" s="4" t="s">
        <v>330</v>
      </c>
      <c r="C53" s="4" t="s">
        <v>186</v>
      </c>
      <c r="D53" s="5" t="s">
        <v>306</v>
      </c>
      <c r="E53" s="4">
        <v>0.189</v>
      </c>
    </row>
    <row r="54" spans="1:5">
      <c r="A54" s="4" t="s">
        <v>331</v>
      </c>
      <c r="B54" s="4" t="s">
        <v>330</v>
      </c>
      <c r="C54" s="4" t="s">
        <v>187</v>
      </c>
      <c r="D54" s="5">
        <v>1000</v>
      </c>
      <c r="E54" s="4">
        <v>0.189</v>
      </c>
    </row>
    <row r="55" spans="1:5">
      <c r="A55" s="4" t="s">
        <v>331</v>
      </c>
      <c r="B55" s="4" t="s">
        <v>330</v>
      </c>
      <c r="C55" s="4" t="s">
        <v>188</v>
      </c>
      <c r="D55" s="5">
        <v>1100</v>
      </c>
      <c r="E55" s="4">
        <v>0.189</v>
      </c>
    </row>
    <row r="56" spans="1:5">
      <c r="A56" s="4" t="s">
        <v>331</v>
      </c>
      <c r="B56" s="4" t="s">
        <v>330</v>
      </c>
      <c r="C56" s="4" t="s">
        <v>189</v>
      </c>
      <c r="D56" s="5">
        <v>1200</v>
      </c>
      <c r="E56" s="4">
        <v>0.189</v>
      </c>
    </row>
    <row r="57" spans="1:5">
      <c r="A57" s="4" t="s">
        <v>331</v>
      </c>
      <c r="B57" s="4" t="s">
        <v>330</v>
      </c>
      <c r="C57" s="4" t="s">
        <v>190</v>
      </c>
      <c r="D57" s="5">
        <v>1300</v>
      </c>
      <c r="E57" s="4">
        <v>0.189</v>
      </c>
    </row>
    <row r="58" spans="1:5">
      <c r="A58" s="4" t="s">
        <v>338</v>
      </c>
      <c r="B58" s="4" t="s">
        <v>337</v>
      </c>
      <c r="C58" s="4" t="s">
        <v>191</v>
      </c>
      <c r="D58" s="5">
        <v>0</v>
      </c>
      <c r="E58" s="4">
        <v>0.189</v>
      </c>
    </row>
    <row r="59" spans="1:5">
      <c r="A59" s="4" t="s">
        <v>338</v>
      </c>
      <c r="B59" s="4" t="s">
        <v>337</v>
      </c>
      <c r="C59" s="4" t="s">
        <v>192</v>
      </c>
      <c r="D59" s="5">
        <v>100</v>
      </c>
      <c r="E59" s="4">
        <v>0.189</v>
      </c>
    </row>
    <row r="60" spans="1:5">
      <c r="A60" s="4" t="s">
        <v>338</v>
      </c>
      <c r="B60" s="4" t="s">
        <v>337</v>
      </c>
      <c r="C60" s="4" t="s">
        <v>193</v>
      </c>
      <c r="D60" s="5">
        <v>200</v>
      </c>
      <c r="E60" s="4">
        <v>0.189</v>
      </c>
    </row>
    <row r="61" spans="1:5">
      <c r="A61" s="4" t="s">
        <v>338</v>
      </c>
      <c r="B61" s="4" t="s">
        <v>337</v>
      </c>
      <c r="C61" s="4" t="s">
        <v>194</v>
      </c>
      <c r="D61" s="5">
        <v>300</v>
      </c>
      <c r="E61" s="4">
        <v>0.189</v>
      </c>
    </row>
    <row r="62" spans="1:5">
      <c r="A62" s="4" t="s">
        <v>338</v>
      </c>
      <c r="B62" s="4" t="s">
        <v>337</v>
      </c>
      <c r="C62" s="4" t="s">
        <v>195</v>
      </c>
      <c r="D62" s="5">
        <v>400</v>
      </c>
      <c r="E62" s="4">
        <v>0.189</v>
      </c>
    </row>
    <row r="63" spans="1:5">
      <c r="A63" s="4" t="s">
        <v>338</v>
      </c>
      <c r="B63" s="4" t="s">
        <v>337</v>
      </c>
      <c r="C63" s="4" t="s">
        <v>196</v>
      </c>
      <c r="D63" s="5">
        <v>500</v>
      </c>
      <c r="E63" s="4">
        <v>0.189</v>
      </c>
    </row>
    <row r="64" spans="1:5">
      <c r="A64" s="4" t="s">
        <v>338</v>
      </c>
      <c r="B64" s="4" t="s">
        <v>337</v>
      </c>
      <c r="C64" s="4" t="s">
        <v>197</v>
      </c>
      <c r="D64" s="5">
        <v>600</v>
      </c>
      <c r="E64" s="4">
        <v>0.189</v>
      </c>
    </row>
    <row r="65" spans="1:5">
      <c r="A65" s="4" t="s">
        <v>338</v>
      </c>
      <c r="B65" s="4" t="s">
        <v>337</v>
      </c>
      <c r="C65" s="4" t="s">
        <v>198</v>
      </c>
      <c r="D65" s="5">
        <v>700</v>
      </c>
      <c r="E65" s="4">
        <v>0.189</v>
      </c>
    </row>
    <row r="66" spans="1:5">
      <c r="A66" s="4" t="s">
        <v>338</v>
      </c>
      <c r="B66" s="4" t="s">
        <v>337</v>
      </c>
      <c r="C66" s="4" t="s">
        <v>199</v>
      </c>
      <c r="D66" s="5">
        <v>800</v>
      </c>
      <c r="E66" s="4">
        <v>0.189</v>
      </c>
    </row>
    <row r="67" spans="1:5">
      <c r="A67" s="4" t="s">
        <v>338</v>
      </c>
      <c r="B67" s="4" t="s">
        <v>337</v>
      </c>
      <c r="C67" s="4" t="s">
        <v>200</v>
      </c>
      <c r="D67" s="5">
        <v>900</v>
      </c>
      <c r="E67" s="4">
        <v>0.189</v>
      </c>
    </row>
    <row r="68" spans="1:5">
      <c r="A68" s="4" t="s">
        <v>338</v>
      </c>
      <c r="B68" s="4" t="s">
        <v>337</v>
      </c>
      <c r="C68" s="4" t="s">
        <v>201</v>
      </c>
      <c r="D68" s="5" t="s">
        <v>318</v>
      </c>
      <c r="E68" s="4">
        <v>0.189</v>
      </c>
    </row>
    <row r="69" spans="1:5">
      <c r="A69" s="4" t="s">
        <v>338</v>
      </c>
      <c r="B69" s="4" t="s">
        <v>337</v>
      </c>
      <c r="C69" s="4" t="s">
        <v>202</v>
      </c>
      <c r="D69" s="5" t="s">
        <v>325</v>
      </c>
      <c r="E69" s="4">
        <v>0.189</v>
      </c>
    </row>
    <row r="70" spans="1:5">
      <c r="A70" s="4" t="s">
        <v>338</v>
      </c>
      <c r="B70" s="4" t="s">
        <v>337</v>
      </c>
      <c r="C70" s="4" t="s">
        <v>203</v>
      </c>
      <c r="D70" s="5" t="s">
        <v>328</v>
      </c>
      <c r="E70" s="4">
        <v>0.189</v>
      </c>
    </row>
    <row r="71" spans="1:5">
      <c r="A71" s="4" t="s">
        <v>338</v>
      </c>
      <c r="B71" s="4" t="s">
        <v>337</v>
      </c>
      <c r="C71" s="4" t="s">
        <v>204</v>
      </c>
      <c r="D71" s="5" t="s">
        <v>332</v>
      </c>
      <c r="E71" s="4">
        <v>0.189</v>
      </c>
    </row>
    <row r="72" spans="1:5">
      <c r="A72" s="4" t="s">
        <v>338</v>
      </c>
      <c r="B72" s="4" t="s">
        <v>337</v>
      </c>
      <c r="C72" s="4" t="s">
        <v>205</v>
      </c>
      <c r="D72" s="6">
        <v>0</v>
      </c>
      <c r="E72" s="4">
        <v>0.189</v>
      </c>
    </row>
    <row r="73" spans="1:5">
      <c r="A73" s="4" t="s">
        <v>338</v>
      </c>
      <c r="B73" s="4" t="s">
        <v>337</v>
      </c>
      <c r="C73" s="4" t="s">
        <v>206</v>
      </c>
      <c r="D73" s="5" t="s">
        <v>306</v>
      </c>
      <c r="E73" s="4">
        <v>0.189</v>
      </c>
    </row>
    <row r="74" spans="1:5">
      <c r="A74" s="4" t="s">
        <v>338</v>
      </c>
      <c r="B74" s="4" t="s">
        <v>337</v>
      </c>
      <c r="C74" s="4" t="s">
        <v>207</v>
      </c>
      <c r="D74" s="5">
        <v>1000</v>
      </c>
      <c r="E74" s="4">
        <v>0.189</v>
      </c>
    </row>
    <row r="75" spans="1:5">
      <c r="A75" s="4" t="s">
        <v>338</v>
      </c>
      <c r="B75" s="4" t="s">
        <v>337</v>
      </c>
      <c r="C75" s="4" t="s">
        <v>208</v>
      </c>
      <c r="D75" s="5">
        <v>1100</v>
      </c>
      <c r="E75" s="4">
        <v>0.189</v>
      </c>
    </row>
    <row r="76" spans="1:5">
      <c r="A76" s="4" t="s">
        <v>338</v>
      </c>
      <c r="B76" s="4" t="s">
        <v>337</v>
      </c>
      <c r="C76" s="4" t="s">
        <v>209</v>
      </c>
      <c r="D76" s="5">
        <v>1200</v>
      </c>
      <c r="E76" s="4">
        <v>0.189</v>
      </c>
    </row>
    <row r="77" spans="1:5">
      <c r="A77" s="4" t="s">
        <v>338</v>
      </c>
      <c r="B77" s="4" t="s">
        <v>337</v>
      </c>
      <c r="C77" s="4" t="s">
        <v>210</v>
      </c>
      <c r="D77" s="5">
        <v>1300</v>
      </c>
      <c r="E77" s="4">
        <v>0.189</v>
      </c>
    </row>
    <row r="78" spans="1:5">
      <c r="A78" s="4" t="s">
        <v>347</v>
      </c>
      <c r="B78" s="4" t="s">
        <v>346</v>
      </c>
      <c r="C78" s="4" t="s">
        <v>211</v>
      </c>
      <c r="D78" s="5">
        <v>0</v>
      </c>
      <c r="E78" s="4">
        <v>0.189</v>
      </c>
    </row>
    <row r="79" spans="1:5">
      <c r="A79" s="4" t="s">
        <v>347</v>
      </c>
      <c r="B79" s="4" t="s">
        <v>346</v>
      </c>
      <c r="C79" s="4" t="s">
        <v>212</v>
      </c>
      <c r="D79" s="5">
        <v>100</v>
      </c>
      <c r="E79" s="4">
        <v>0.189</v>
      </c>
    </row>
    <row r="80" spans="1:5">
      <c r="A80" s="4" t="s">
        <v>347</v>
      </c>
      <c r="B80" s="4" t="s">
        <v>346</v>
      </c>
      <c r="C80" s="4" t="s">
        <v>213</v>
      </c>
      <c r="D80" s="5">
        <v>200</v>
      </c>
      <c r="E80" s="4">
        <v>0.189</v>
      </c>
    </row>
    <row r="81" spans="1:5">
      <c r="A81" s="4" t="s">
        <v>347</v>
      </c>
      <c r="B81" s="4" t="s">
        <v>346</v>
      </c>
      <c r="C81" s="4" t="s">
        <v>214</v>
      </c>
      <c r="D81" s="5">
        <v>300</v>
      </c>
      <c r="E81" s="4">
        <v>0.189</v>
      </c>
    </row>
    <row r="82" spans="1:5">
      <c r="A82" s="4" t="s">
        <v>347</v>
      </c>
      <c r="B82" s="4" t="s">
        <v>346</v>
      </c>
      <c r="C82" s="4" t="s">
        <v>215</v>
      </c>
      <c r="D82" s="5">
        <v>400</v>
      </c>
      <c r="E82" s="4">
        <v>0.189</v>
      </c>
    </row>
    <row r="83" spans="1:5">
      <c r="A83" s="4" t="s">
        <v>347</v>
      </c>
      <c r="B83" s="4" t="s">
        <v>346</v>
      </c>
      <c r="C83" s="4" t="s">
        <v>216</v>
      </c>
      <c r="D83" s="5">
        <v>500</v>
      </c>
      <c r="E83" s="4">
        <v>0.189</v>
      </c>
    </row>
    <row r="84" spans="1:5">
      <c r="A84" s="4" t="s">
        <v>347</v>
      </c>
      <c r="B84" s="4" t="s">
        <v>346</v>
      </c>
      <c r="C84" s="4" t="s">
        <v>217</v>
      </c>
      <c r="D84" s="5">
        <v>600</v>
      </c>
      <c r="E84" s="4">
        <v>0.189</v>
      </c>
    </row>
    <row r="85" spans="1:5">
      <c r="A85" s="4" t="s">
        <v>347</v>
      </c>
      <c r="B85" s="4" t="s">
        <v>346</v>
      </c>
      <c r="C85" s="4" t="s">
        <v>218</v>
      </c>
      <c r="D85" s="5">
        <v>700</v>
      </c>
      <c r="E85" s="4">
        <v>0.189</v>
      </c>
    </row>
    <row r="86" spans="1:5">
      <c r="A86" s="4" t="s">
        <v>347</v>
      </c>
      <c r="B86" s="4" t="s">
        <v>346</v>
      </c>
      <c r="C86" s="4" t="s">
        <v>219</v>
      </c>
      <c r="D86" s="5">
        <v>800</v>
      </c>
      <c r="E86" s="4">
        <v>0.189</v>
      </c>
    </row>
    <row r="87" spans="1:5">
      <c r="A87" s="4" t="s">
        <v>347</v>
      </c>
      <c r="B87" s="4" t="s">
        <v>346</v>
      </c>
      <c r="C87" s="4" t="s">
        <v>220</v>
      </c>
      <c r="D87" s="5">
        <v>900</v>
      </c>
      <c r="E87" s="4">
        <v>0.189</v>
      </c>
    </row>
    <row r="88" spans="1:5">
      <c r="A88" s="4" t="s">
        <v>347</v>
      </c>
      <c r="B88" s="4" t="s">
        <v>346</v>
      </c>
      <c r="C88" s="4" t="s">
        <v>221</v>
      </c>
      <c r="D88" s="5" t="s">
        <v>318</v>
      </c>
      <c r="E88" s="4">
        <v>0.189</v>
      </c>
    </row>
    <row r="89" spans="1:5">
      <c r="A89" s="4" t="s">
        <v>347</v>
      </c>
      <c r="B89" s="4" t="s">
        <v>346</v>
      </c>
      <c r="C89" s="4" t="s">
        <v>222</v>
      </c>
      <c r="D89" s="5" t="s">
        <v>325</v>
      </c>
      <c r="E89" s="4">
        <v>0.189</v>
      </c>
    </row>
    <row r="90" spans="1:5">
      <c r="A90" s="4" t="s">
        <v>347</v>
      </c>
      <c r="B90" s="4" t="s">
        <v>346</v>
      </c>
      <c r="C90" s="4" t="s">
        <v>223</v>
      </c>
      <c r="D90" s="5" t="s">
        <v>328</v>
      </c>
      <c r="E90" s="4">
        <v>0.189</v>
      </c>
    </row>
    <row r="91" spans="1:5">
      <c r="A91" s="4" t="s">
        <v>347</v>
      </c>
      <c r="B91" s="4" t="s">
        <v>346</v>
      </c>
      <c r="C91" s="4" t="s">
        <v>224</v>
      </c>
      <c r="D91" s="5" t="s">
        <v>332</v>
      </c>
      <c r="E91" s="4">
        <v>0.189</v>
      </c>
    </row>
    <row r="92" spans="1:5">
      <c r="A92" s="4" t="s">
        <v>347</v>
      </c>
      <c r="B92" s="4" t="s">
        <v>346</v>
      </c>
      <c r="C92" s="4" t="s">
        <v>225</v>
      </c>
      <c r="D92" s="6">
        <v>0</v>
      </c>
      <c r="E92" s="4">
        <v>0.189</v>
      </c>
    </row>
    <row r="93" spans="1:5">
      <c r="A93" s="4" t="s">
        <v>347</v>
      </c>
      <c r="B93" s="4" t="s">
        <v>346</v>
      </c>
      <c r="C93" s="4" t="s">
        <v>226</v>
      </c>
      <c r="D93" s="5" t="s">
        <v>306</v>
      </c>
      <c r="E93" s="4">
        <v>0.189</v>
      </c>
    </row>
    <row r="94" spans="1:5">
      <c r="A94" s="4" t="s">
        <v>347</v>
      </c>
      <c r="B94" s="4" t="s">
        <v>346</v>
      </c>
      <c r="C94" s="4" t="s">
        <v>227</v>
      </c>
      <c r="D94" s="5">
        <v>1000</v>
      </c>
      <c r="E94" s="4">
        <v>0.189</v>
      </c>
    </row>
    <row r="95" spans="1:5">
      <c r="A95" s="4" t="s">
        <v>347</v>
      </c>
      <c r="B95" s="4" t="s">
        <v>346</v>
      </c>
      <c r="C95" s="4" t="s">
        <v>228</v>
      </c>
      <c r="D95" s="5">
        <v>1100</v>
      </c>
      <c r="E95" s="4">
        <v>0.189</v>
      </c>
    </row>
    <row r="96" spans="1:5">
      <c r="A96" s="4" t="s">
        <v>347</v>
      </c>
      <c r="B96" s="4" t="s">
        <v>346</v>
      </c>
      <c r="C96" s="4" t="s">
        <v>229</v>
      </c>
      <c r="D96" s="5">
        <v>1200</v>
      </c>
      <c r="E96" s="4">
        <v>0.189</v>
      </c>
    </row>
    <row r="97" spans="1:5">
      <c r="A97" s="4" t="s">
        <v>347</v>
      </c>
      <c r="B97" s="4" t="s">
        <v>346</v>
      </c>
      <c r="C97" s="4" t="s">
        <v>230</v>
      </c>
      <c r="D97" s="5">
        <v>1300</v>
      </c>
      <c r="E97" s="4">
        <v>0.189</v>
      </c>
    </row>
    <row r="98" spans="1:5">
      <c r="A98" s="4" t="s">
        <v>310</v>
      </c>
      <c r="B98" s="4" t="s">
        <v>309</v>
      </c>
      <c r="C98" s="4" t="s">
        <v>231</v>
      </c>
      <c r="D98" s="5">
        <v>0</v>
      </c>
      <c r="E98" s="4">
        <v>0.189</v>
      </c>
    </row>
    <row r="99" spans="1:5">
      <c r="A99" s="4" t="s">
        <v>310</v>
      </c>
      <c r="B99" s="4" t="s">
        <v>309</v>
      </c>
      <c r="C99" s="4" t="s">
        <v>232</v>
      </c>
      <c r="D99" s="5">
        <v>100</v>
      </c>
      <c r="E99" s="4">
        <v>0.189</v>
      </c>
    </row>
    <row r="100" spans="1:5">
      <c r="A100" s="4" t="s">
        <v>310</v>
      </c>
      <c r="B100" s="4" t="s">
        <v>309</v>
      </c>
      <c r="C100" s="4" t="s">
        <v>233</v>
      </c>
      <c r="D100" s="5">
        <v>200</v>
      </c>
      <c r="E100" s="4">
        <v>0.189</v>
      </c>
    </row>
    <row r="101" spans="1:5">
      <c r="A101" s="4" t="s">
        <v>310</v>
      </c>
      <c r="B101" s="4" t="s">
        <v>309</v>
      </c>
      <c r="C101" s="4" t="s">
        <v>234</v>
      </c>
      <c r="D101" s="5">
        <v>300</v>
      </c>
      <c r="E101" s="4">
        <v>0.189</v>
      </c>
    </row>
    <row r="102" spans="1:5">
      <c r="A102" s="4" t="s">
        <v>310</v>
      </c>
      <c r="B102" s="4" t="s">
        <v>309</v>
      </c>
      <c r="C102" s="4" t="s">
        <v>235</v>
      </c>
      <c r="D102" s="5">
        <v>400</v>
      </c>
      <c r="E102" s="4">
        <v>0.189</v>
      </c>
    </row>
    <row r="103" spans="1:5">
      <c r="A103" s="4" t="s">
        <v>310</v>
      </c>
      <c r="B103" s="4" t="s">
        <v>309</v>
      </c>
      <c r="C103" s="4" t="s">
        <v>236</v>
      </c>
      <c r="D103" s="5">
        <v>500</v>
      </c>
      <c r="E103" s="4">
        <v>0.189</v>
      </c>
    </row>
    <row r="104" spans="1:5">
      <c r="A104" s="4" t="s">
        <v>310</v>
      </c>
      <c r="B104" s="4" t="s">
        <v>309</v>
      </c>
      <c r="C104" s="4" t="s">
        <v>237</v>
      </c>
      <c r="D104" s="5">
        <v>600</v>
      </c>
      <c r="E104" s="4">
        <v>0.189</v>
      </c>
    </row>
    <row r="105" spans="1:5">
      <c r="A105" s="4" t="s">
        <v>310</v>
      </c>
      <c r="B105" s="4" t="s">
        <v>309</v>
      </c>
      <c r="C105" s="4" t="s">
        <v>238</v>
      </c>
      <c r="D105" s="5">
        <v>700</v>
      </c>
      <c r="E105" s="4">
        <v>0.189</v>
      </c>
    </row>
    <row r="106" spans="1:5">
      <c r="A106" s="4" t="s">
        <v>310</v>
      </c>
      <c r="B106" s="4" t="s">
        <v>309</v>
      </c>
      <c r="C106" s="4" t="s">
        <v>239</v>
      </c>
      <c r="D106" s="5">
        <v>800</v>
      </c>
      <c r="E106" s="4">
        <v>0.189</v>
      </c>
    </row>
    <row r="107" spans="1:5">
      <c r="A107" s="4" t="s">
        <v>310</v>
      </c>
      <c r="B107" s="4" t="s">
        <v>309</v>
      </c>
      <c r="C107" s="4" t="s">
        <v>240</v>
      </c>
      <c r="D107" s="5">
        <v>900</v>
      </c>
      <c r="E107" s="4">
        <v>0.189</v>
      </c>
    </row>
    <row r="108" spans="1:5">
      <c r="A108" s="4" t="s">
        <v>310</v>
      </c>
      <c r="B108" s="4" t="s">
        <v>309</v>
      </c>
      <c r="C108" s="4" t="s">
        <v>241</v>
      </c>
      <c r="D108" s="5" t="s">
        <v>318</v>
      </c>
      <c r="E108" s="4">
        <v>0.189</v>
      </c>
    </row>
    <row r="109" spans="1:5">
      <c r="A109" s="4" t="s">
        <v>310</v>
      </c>
      <c r="B109" s="4" t="s">
        <v>309</v>
      </c>
      <c r="C109" s="4" t="s">
        <v>242</v>
      </c>
      <c r="D109" s="5" t="s">
        <v>325</v>
      </c>
      <c r="E109" s="4">
        <v>0.189</v>
      </c>
    </row>
    <row r="110" spans="1:5">
      <c r="A110" s="4" t="s">
        <v>310</v>
      </c>
      <c r="B110" s="4" t="s">
        <v>309</v>
      </c>
      <c r="C110" s="4" t="s">
        <v>243</v>
      </c>
      <c r="D110" s="5" t="s">
        <v>328</v>
      </c>
      <c r="E110" s="4">
        <v>0.189</v>
      </c>
    </row>
    <row r="111" spans="1:5">
      <c r="A111" s="4" t="s">
        <v>310</v>
      </c>
      <c r="B111" s="4" t="s">
        <v>309</v>
      </c>
      <c r="C111" s="4" t="s">
        <v>244</v>
      </c>
      <c r="D111" s="5" t="s">
        <v>332</v>
      </c>
      <c r="E111" s="4">
        <v>0.189</v>
      </c>
    </row>
    <row r="112" spans="1:5">
      <c r="A112" s="4" t="s">
        <v>310</v>
      </c>
      <c r="B112" s="4" t="s">
        <v>309</v>
      </c>
      <c r="C112" s="4" t="s">
        <v>245</v>
      </c>
      <c r="D112" s="6">
        <v>0</v>
      </c>
      <c r="E112" s="4">
        <v>0.189</v>
      </c>
    </row>
    <row r="113" spans="1:5">
      <c r="A113" s="4" t="s">
        <v>310</v>
      </c>
      <c r="B113" s="4" t="s">
        <v>309</v>
      </c>
      <c r="C113" s="4" t="s">
        <v>246</v>
      </c>
      <c r="D113" s="5" t="s">
        <v>306</v>
      </c>
      <c r="E113" s="4">
        <v>0.189</v>
      </c>
    </row>
    <row r="114" spans="1:5">
      <c r="A114" s="4" t="s">
        <v>310</v>
      </c>
      <c r="B114" s="4" t="s">
        <v>309</v>
      </c>
      <c r="C114" s="4" t="s">
        <v>247</v>
      </c>
      <c r="D114" s="5">
        <v>1000</v>
      </c>
      <c r="E114" s="4">
        <v>0.189</v>
      </c>
    </row>
    <row r="115" spans="1:5">
      <c r="A115" s="4" t="s">
        <v>310</v>
      </c>
      <c r="B115" s="4" t="s">
        <v>309</v>
      </c>
      <c r="C115" s="4" t="s">
        <v>248</v>
      </c>
      <c r="D115" s="5">
        <v>1100</v>
      </c>
      <c r="E115" s="4">
        <v>0.189</v>
      </c>
    </row>
    <row r="116" spans="1:5">
      <c r="A116" s="4" t="s">
        <v>310</v>
      </c>
      <c r="B116" s="4" t="s">
        <v>309</v>
      </c>
      <c r="C116" s="4" t="s">
        <v>249</v>
      </c>
      <c r="D116" s="5">
        <v>1200</v>
      </c>
      <c r="E116" s="4">
        <v>0.189</v>
      </c>
    </row>
    <row r="117" spans="1:5">
      <c r="A117" s="4" t="s">
        <v>310</v>
      </c>
      <c r="B117" s="4" t="s">
        <v>309</v>
      </c>
      <c r="C117" s="4" t="s">
        <v>250</v>
      </c>
      <c r="D117" s="5">
        <v>1300</v>
      </c>
      <c r="E117" s="4">
        <v>0.189</v>
      </c>
    </row>
    <row r="118" spans="1:5">
      <c r="A118" s="4" t="s">
        <v>352</v>
      </c>
      <c r="B118" s="4" t="s">
        <v>351</v>
      </c>
      <c r="C118" s="4" t="s">
        <v>251</v>
      </c>
      <c r="D118" s="5">
        <v>0</v>
      </c>
      <c r="E118" s="4">
        <v>0.189</v>
      </c>
    </row>
    <row r="119" spans="1:5">
      <c r="A119" s="4" t="s">
        <v>352</v>
      </c>
      <c r="B119" s="4" t="s">
        <v>351</v>
      </c>
      <c r="C119" s="4" t="s">
        <v>252</v>
      </c>
      <c r="D119" s="5">
        <v>100</v>
      </c>
      <c r="E119" s="4">
        <v>0.189</v>
      </c>
    </row>
    <row r="120" spans="1:5">
      <c r="A120" s="4" t="s">
        <v>352</v>
      </c>
      <c r="B120" s="4" t="s">
        <v>351</v>
      </c>
      <c r="C120" s="4" t="s">
        <v>253</v>
      </c>
      <c r="D120" s="5">
        <v>200</v>
      </c>
      <c r="E120" s="4">
        <v>0.189</v>
      </c>
    </row>
    <row r="121" spans="1:5">
      <c r="A121" s="4" t="s">
        <v>352</v>
      </c>
      <c r="B121" s="4" t="s">
        <v>351</v>
      </c>
      <c r="C121" s="4" t="s">
        <v>254</v>
      </c>
      <c r="D121" s="5">
        <v>300</v>
      </c>
      <c r="E121" s="4">
        <v>0.189</v>
      </c>
    </row>
    <row r="122" spans="1:5">
      <c r="A122" s="4" t="s">
        <v>352</v>
      </c>
      <c r="B122" s="4" t="s">
        <v>351</v>
      </c>
      <c r="C122" s="4" t="s">
        <v>255</v>
      </c>
      <c r="D122" s="5">
        <v>400</v>
      </c>
      <c r="E122" s="4">
        <v>0.189</v>
      </c>
    </row>
    <row r="123" spans="1:5">
      <c r="A123" s="4" t="s">
        <v>352</v>
      </c>
      <c r="B123" s="4" t="s">
        <v>351</v>
      </c>
      <c r="C123" s="4" t="s">
        <v>256</v>
      </c>
      <c r="D123" s="5">
        <v>500</v>
      </c>
      <c r="E123" s="4">
        <v>0.189</v>
      </c>
    </row>
    <row r="124" spans="1:5">
      <c r="A124" s="4" t="s">
        <v>352</v>
      </c>
      <c r="B124" s="4" t="s">
        <v>351</v>
      </c>
      <c r="C124" s="4" t="s">
        <v>257</v>
      </c>
      <c r="D124" s="5">
        <v>600</v>
      </c>
      <c r="E124" s="4">
        <v>0.189</v>
      </c>
    </row>
    <row r="125" spans="1:5">
      <c r="A125" s="4" t="s">
        <v>352</v>
      </c>
      <c r="B125" s="4" t="s">
        <v>351</v>
      </c>
      <c r="C125" s="4" t="s">
        <v>258</v>
      </c>
      <c r="D125" s="5">
        <v>700</v>
      </c>
      <c r="E125" s="4">
        <v>0.189</v>
      </c>
    </row>
    <row r="126" spans="1:5">
      <c r="A126" s="4" t="s">
        <v>352</v>
      </c>
      <c r="B126" s="4" t="s">
        <v>351</v>
      </c>
      <c r="C126" s="4" t="s">
        <v>259</v>
      </c>
      <c r="D126" s="5">
        <v>800</v>
      </c>
      <c r="E126" s="4">
        <v>0.189</v>
      </c>
    </row>
    <row r="127" spans="1:5">
      <c r="A127" s="4" t="s">
        <v>352</v>
      </c>
      <c r="B127" s="4" t="s">
        <v>351</v>
      </c>
      <c r="C127" s="4" t="s">
        <v>260</v>
      </c>
      <c r="D127" s="5">
        <v>900</v>
      </c>
      <c r="E127" s="4">
        <v>0.189</v>
      </c>
    </row>
    <row r="128" spans="1:5">
      <c r="A128" s="4" t="s">
        <v>352</v>
      </c>
      <c r="B128" s="4" t="s">
        <v>351</v>
      </c>
      <c r="C128" s="4" t="s">
        <v>261</v>
      </c>
      <c r="D128" s="5" t="s">
        <v>318</v>
      </c>
      <c r="E128" s="4">
        <v>0.189</v>
      </c>
    </row>
    <row r="129" spans="1:5">
      <c r="A129" s="4" t="s">
        <v>352</v>
      </c>
      <c r="B129" s="4" t="s">
        <v>351</v>
      </c>
      <c r="C129" s="4" t="s">
        <v>262</v>
      </c>
      <c r="D129" s="5" t="s">
        <v>325</v>
      </c>
      <c r="E129" s="4">
        <v>0.189</v>
      </c>
    </row>
    <row r="130" spans="1:5">
      <c r="A130" s="4" t="s">
        <v>352</v>
      </c>
      <c r="B130" s="4" t="s">
        <v>351</v>
      </c>
      <c r="C130" s="4" t="s">
        <v>263</v>
      </c>
      <c r="D130" s="5" t="s">
        <v>328</v>
      </c>
      <c r="E130" s="4">
        <v>0.189</v>
      </c>
    </row>
    <row r="131" spans="1:5">
      <c r="A131" s="4" t="s">
        <v>352</v>
      </c>
      <c r="B131" s="4" t="s">
        <v>351</v>
      </c>
      <c r="C131" s="4" t="s">
        <v>264</v>
      </c>
      <c r="D131" s="5" t="s">
        <v>332</v>
      </c>
      <c r="E131" s="4">
        <v>0.189</v>
      </c>
    </row>
    <row r="132" spans="1:5">
      <c r="A132" s="4" t="s">
        <v>352</v>
      </c>
      <c r="B132" s="4" t="s">
        <v>351</v>
      </c>
      <c r="C132" s="4" t="s">
        <v>265</v>
      </c>
      <c r="D132" s="6">
        <v>0</v>
      </c>
      <c r="E132" s="4">
        <v>0.189</v>
      </c>
    </row>
    <row r="133" spans="1:5">
      <c r="A133" s="4" t="s">
        <v>352</v>
      </c>
      <c r="B133" s="4" t="s">
        <v>351</v>
      </c>
      <c r="C133" s="4" t="s">
        <v>266</v>
      </c>
      <c r="D133" s="5" t="s">
        <v>306</v>
      </c>
      <c r="E133" s="4">
        <v>0.189</v>
      </c>
    </row>
    <row r="134" spans="1:5">
      <c r="A134" s="4" t="s">
        <v>352</v>
      </c>
      <c r="B134" s="4" t="s">
        <v>351</v>
      </c>
      <c r="C134" s="4" t="s">
        <v>267</v>
      </c>
      <c r="D134" s="5">
        <v>1000</v>
      </c>
      <c r="E134" s="4">
        <v>0.189</v>
      </c>
    </row>
    <row r="135" spans="1:5">
      <c r="A135" s="4" t="s">
        <v>352</v>
      </c>
      <c r="B135" s="4" t="s">
        <v>351</v>
      </c>
      <c r="C135" s="4" t="s">
        <v>268</v>
      </c>
      <c r="D135" s="5">
        <v>1100</v>
      </c>
      <c r="E135" s="4">
        <v>0.189</v>
      </c>
    </row>
    <row r="136" spans="1:5">
      <c r="A136" s="4" t="s">
        <v>352</v>
      </c>
      <c r="B136" s="4" t="s">
        <v>351</v>
      </c>
      <c r="C136" s="4" t="s">
        <v>269</v>
      </c>
      <c r="D136" s="5">
        <v>1200</v>
      </c>
      <c r="E136" s="4">
        <v>0.189</v>
      </c>
    </row>
    <row r="137" spans="1:5">
      <c r="A137" s="4" t="s">
        <v>352</v>
      </c>
      <c r="B137" s="4" t="s">
        <v>351</v>
      </c>
      <c r="C137" s="4" t="s">
        <v>270</v>
      </c>
      <c r="D137" s="5">
        <v>1300</v>
      </c>
      <c r="E137" s="4">
        <v>0.189</v>
      </c>
    </row>
    <row r="138" spans="1:5">
      <c r="A138" s="4" t="s">
        <v>352</v>
      </c>
      <c r="B138" s="4" t="s">
        <v>351</v>
      </c>
      <c r="C138" s="4" t="s">
        <v>271</v>
      </c>
      <c r="D138" s="5">
        <v>1400</v>
      </c>
      <c r="E138" s="4">
        <v>0.189</v>
      </c>
    </row>
    <row r="139" spans="1:5">
      <c r="A139" s="4" t="s">
        <v>357</v>
      </c>
      <c r="B139" s="4" t="s">
        <v>356</v>
      </c>
      <c r="C139" s="4" t="s">
        <v>272</v>
      </c>
      <c r="D139" s="5">
        <v>0</v>
      </c>
      <c r="E139" s="4">
        <v>0.189</v>
      </c>
    </row>
    <row r="140" spans="1:5">
      <c r="A140" s="4" t="s">
        <v>357</v>
      </c>
      <c r="B140" s="4" t="s">
        <v>356</v>
      </c>
      <c r="C140" s="4" t="s">
        <v>273</v>
      </c>
      <c r="D140" s="5">
        <v>100</v>
      </c>
      <c r="E140" s="4">
        <v>0.189</v>
      </c>
    </row>
    <row r="141" spans="1:5">
      <c r="A141" s="4" t="s">
        <v>357</v>
      </c>
      <c r="B141" s="4" t="s">
        <v>356</v>
      </c>
      <c r="C141" s="4" t="s">
        <v>274</v>
      </c>
      <c r="D141" s="5">
        <v>200</v>
      </c>
      <c r="E141" s="4">
        <v>0.189</v>
      </c>
    </row>
    <row r="142" spans="1:5">
      <c r="A142" s="4" t="s">
        <v>357</v>
      </c>
      <c r="B142" s="4" t="s">
        <v>356</v>
      </c>
      <c r="C142" s="4" t="s">
        <v>275</v>
      </c>
      <c r="D142" s="5">
        <v>300</v>
      </c>
      <c r="E142" s="4">
        <v>0.189</v>
      </c>
    </row>
    <row r="143" spans="1:5">
      <c r="A143" s="4" t="s">
        <v>357</v>
      </c>
      <c r="B143" s="4" t="s">
        <v>356</v>
      </c>
      <c r="C143" s="4" t="s">
        <v>276</v>
      </c>
      <c r="D143" s="5">
        <v>400</v>
      </c>
      <c r="E143" s="4">
        <v>0.189</v>
      </c>
    </row>
    <row r="144" spans="1:5">
      <c r="A144" s="4" t="s">
        <v>357</v>
      </c>
      <c r="B144" s="4" t="s">
        <v>356</v>
      </c>
      <c r="C144" s="4" t="s">
        <v>277</v>
      </c>
      <c r="D144" s="5">
        <v>500</v>
      </c>
      <c r="E144" s="4">
        <v>0.189</v>
      </c>
    </row>
    <row r="145" spans="1:5">
      <c r="A145" s="4" t="s">
        <v>357</v>
      </c>
      <c r="B145" s="4" t="s">
        <v>356</v>
      </c>
      <c r="C145" s="4" t="s">
        <v>278</v>
      </c>
      <c r="D145" s="5">
        <v>600</v>
      </c>
      <c r="E145" s="4">
        <v>0.189</v>
      </c>
    </row>
    <row r="146" spans="1:5">
      <c r="A146" s="4" t="s">
        <v>357</v>
      </c>
      <c r="B146" s="4" t="s">
        <v>356</v>
      </c>
      <c r="C146" s="4" t="s">
        <v>279</v>
      </c>
      <c r="D146" s="5">
        <v>700</v>
      </c>
      <c r="E146" s="4">
        <v>0.189</v>
      </c>
    </row>
    <row r="147" spans="1:5">
      <c r="A147" s="4" t="s">
        <v>357</v>
      </c>
      <c r="B147" s="4" t="s">
        <v>356</v>
      </c>
      <c r="C147" s="4" t="s">
        <v>280</v>
      </c>
      <c r="D147" s="5">
        <v>800</v>
      </c>
      <c r="E147" s="4">
        <v>0.189</v>
      </c>
    </row>
    <row r="148" spans="1:5">
      <c r="A148" s="4" t="s">
        <v>357</v>
      </c>
      <c r="B148" s="4" t="s">
        <v>356</v>
      </c>
      <c r="C148" s="4" t="s">
        <v>281</v>
      </c>
      <c r="D148" s="5">
        <v>900</v>
      </c>
      <c r="E148" s="4">
        <v>0.189</v>
      </c>
    </row>
    <row r="149" spans="1:5">
      <c r="A149" s="4" t="s">
        <v>357</v>
      </c>
      <c r="B149" s="4" t="s">
        <v>356</v>
      </c>
      <c r="C149" s="4" t="s">
        <v>282</v>
      </c>
      <c r="D149" s="5" t="s">
        <v>318</v>
      </c>
      <c r="E149" s="4">
        <v>0.189</v>
      </c>
    </row>
    <row r="150" spans="1:5">
      <c r="A150" s="4" t="s">
        <v>357</v>
      </c>
      <c r="B150" s="4" t="s">
        <v>356</v>
      </c>
      <c r="C150" s="4" t="s">
        <v>283</v>
      </c>
      <c r="D150" s="5" t="s">
        <v>325</v>
      </c>
      <c r="E150" s="4">
        <v>0.189</v>
      </c>
    </row>
    <row r="151" spans="1:5">
      <c r="A151" s="4" t="s">
        <v>357</v>
      </c>
      <c r="B151" s="4" t="s">
        <v>356</v>
      </c>
      <c r="C151" s="4" t="s">
        <v>284</v>
      </c>
      <c r="D151" s="5" t="s">
        <v>328</v>
      </c>
      <c r="E151" s="4">
        <v>0.189</v>
      </c>
    </row>
    <row r="152" spans="1:5">
      <c r="A152" s="4" t="s">
        <v>357</v>
      </c>
      <c r="B152" s="4" t="s">
        <v>356</v>
      </c>
      <c r="C152" s="4" t="s">
        <v>285</v>
      </c>
      <c r="D152" s="5" t="s">
        <v>332</v>
      </c>
      <c r="E152" s="4">
        <v>0.189</v>
      </c>
    </row>
    <row r="153" spans="1:5">
      <c r="A153" s="4" t="s">
        <v>357</v>
      </c>
      <c r="B153" s="4" t="s">
        <v>356</v>
      </c>
      <c r="C153" s="4" t="s">
        <v>286</v>
      </c>
      <c r="D153" s="6">
        <v>0</v>
      </c>
      <c r="E153" s="4">
        <v>0.189</v>
      </c>
    </row>
    <row r="154" spans="1:5">
      <c r="A154" s="4" t="s">
        <v>357</v>
      </c>
      <c r="B154" s="4" t="s">
        <v>356</v>
      </c>
      <c r="C154" s="4" t="s">
        <v>287</v>
      </c>
      <c r="D154" s="5" t="s">
        <v>306</v>
      </c>
      <c r="E154" s="4">
        <v>0.189</v>
      </c>
    </row>
    <row r="155" spans="1:5">
      <c r="A155" s="4" t="s">
        <v>357</v>
      </c>
      <c r="B155" s="4" t="s">
        <v>356</v>
      </c>
      <c r="C155" s="4" t="s">
        <v>288</v>
      </c>
      <c r="D155" s="5">
        <v>1000</v>
      </c>
      <c r="E155" s="4">
        <v>0.189</v>
      </c>
    </row>
    <row r="156" spans="1:5">
      <c r="A156" s="4" t="s">
        <v>357</v>
      </c>
      <c r="B156" s="4" t="s">
        <v>356</v>
      </c>
      <c r="C156" s="4" t="s">
        <v>289</v>
      </c>
      <c r="D156" s="5">
        <v>1100</v>
      </c>
      <c r="E156" s="4">
        <v>0.189</v>
      </c>
    </row>
    <row r="157" spans="1:5">
      <c r="A157" s="4" t="s">
        <v>357</v>
      </c>
      <c r="B157" s="4" t="s">
        <v>356</v>
      </c>
      <c r="C157" s="4" t="s">
        <v>290</v>
      </c>
      <c r="D157" s="5">
        <v>1200</v>
      </c>
      <c r="E157" s="4">
        <v>0.189</v>
      </c>
    </row>
    <row r="158" spans="1:5">
      <c r="A158" s="4" t="s">
        <v>357</v>
      </c>
      <c r="B158" s="4" t="s">
        <v>356</v>
      </c>
      <c r="C158" s="4" t="s">
        <v>291</v>
      </c>
      <c r="D158" s="5">
        <v>1300</v>
      </c>
      <c r="E158" s="4">
        <v>0.189</v>
      </c>
    </row>
    <row r="159" spans="1:5">
      <c r="A159" s="4" t="s">
        <v>357</v>
      </c>
      <c r="B159" s="4" t="s">
        <v>356</v>
      </c>
      <c r="C159" s="4" t="s">
        <v>292</v>
      </c>
      <c r="D159" s="5">
        <v>1400</v>
      </c>
      <c r="E159" s="4">
        <v>0.189</v>
      </c>
    </row>
    <row r="160" spans="1:5">
      <c r="A160" s="4" t="s">
        <v>357</v>
      </c>
      <c r="B160" s="4" t="s">
        <v>356</v>
      </c>
      <c r="C160" s="4" t="s">
        <v>293</v>
      </c>
      <c r="D160" s="5">
        <v>1500</v>
      </c>
      <c r="E160" s="4">
        <v>0.189</v>
      </c>
    </row>
  </sheetData>
  <autoFilter xmlns:etc="http://www.wps.cn/officeDocument/2017/etCustomData" ref="A1:E160" etc:filterBottomFollowUsedRange="0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3d06a09117cd48fe8e83c7fb4dce06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3c16364d482bb76a5fb66b47c673a70e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Props1.xml><?xml version="1.0" encoding="utf-8"?>
<ds:datastoreItem xmlns:ds="http://schemas.openxmlformats.org/officeDocument/2006/customXml" ds:itemID="{6672B3AC-8692-4169-BED6-381CE85A03C5}"/>
</file>

<file path=customXml/itemProps2.xml><?xml version="1.0" encoding="utf-8"?>
<ds:datastoreItem xmlns:ds="http://schemas.openxmlformats.org/officeDocument/2006/customXml" ds:itemID="{60E37048-2C7B-4B2B-90D9-BC5A49C7FDB2}">
  <ds:schemaRefs/>
</ds:datastoreItem>
</file>

<file path=customXml/itemProps3.xml><?xml version="1.0" encoding="utf-8"?>
<ds:datastoreItem xmlns:ds="http://schemas.openxmlformats.org/officeDocument/2006/customXml" ds:itemID="{B5DFEB5F-F662-4D8B-845B-990283CD8A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掉线率-GW</vt:lpstr>
      <vt:lpstr>掉线率-CU</vt:lpstr>
      <vt:lpstr>OffLine List</vt:lpstr>
      <vt:lpstr>掉线截图</vt:lpstr>
      <vt:lpstr>Gateway List</vt:lpstr>
      <vt:lpstr>CU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Macy</cp:lastModifiedBy>
  <dcterms:created xsi:type="dcterms:W3CDTF">2015-06-05T18:19:00Z</dcterms:created>
  <dcterms:modified xsi:type="dcterms:W3CDTF">2025-04-11T15:29:24Z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0x010100C798ABB9206E034C89BEB50AFC70A484</vt:lpwstr>
  </property>
  <property fmtid="{D5CDD505-2E9C-101B-9397-08002B2CF9AE}" pid="3" name="ICV">
    <vt:lpwstr>BE9CE7641FAC426795103147DFA206FC_12</vt:lpwstr>
  </property>
  <property fmtid="{D5CDD505-2E9C-101B-9397-08002B2CF9AE}" pid="4" name="KSOProductBuildVer">
    <vt:lpwstr>2052-12.1.0.20305</vt:lpwstr>
  </property>
  <property fmtid="{D5CDD505-2E9C-101B-9397-08002B2CF9AE}" pid="5" name="MediaServiceImageTags">
    <vt:lpwstr/>
  </property>
</Properties>
</file>