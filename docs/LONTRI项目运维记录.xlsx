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 activeTab="3"/>
  </bookViews>
  <sheets>
    <sheet name="Sheet1" sheetId="1" r:id="rId1"/>
    <sheet name="上海交大" sheetId="2" r:id="rId2"/>
    <sheet name="博湃测试" sheetId="3" r:id="rId3"/>
    <sheet name="ABB-P6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<sst xmlns="http://schemas.openxmlformats.org/spreadsheetml/2006/main" count="642" uniqueCount="240">
  <si>
    <t>序号</t>
  </si>
  <si>
    <t>反馈人</t>
  </si>
  <si>
    <t>分类</t>
  </si>
  <si>
    <t>收到反馈时间</t>
  </si>
  <si>
    <t>事项</t>
  </si>
  <si>
    <t>最新进展</t>
  </si>
  <si>
    <t>处理人</t>
  </si>
  <si>
    <t>完成情况</t>
  </si>
  <si>
    <t>完成时间</t>
  </si>
  <si>
    <t>备注</t>
  </si>
  <si>
    <t>于洋</t>
  </si>
  <si>
    <t>Lontri软件
杜基产品</t>
  </si>
  <si>
    <t>1、光疗室立面LTP最近使用下来一直是蓝屏
2、网页无法控制</t>
  </si>
  <si>
    <t>1、重启电源后，网页刷新后控制恢复正常（LTP也可控）</t>
  </si>
  <si>
    <t>Ken</t>
  </si>
  <si>
    <t>已完成</t>
  </si>
  <si>
    <t>1、光疗室立面LTP又发生蓝屏
2、网页无法加载，卡死</t>
  </si>
  <si>
    <t>1、LTP用遥控恢复场景
2、网页因树莓派硬盘储存满载，清理后恢复正常
3、后续周日到现场没有复现LTP的问题</t>
  </si>
  <si>
    <t>Ken/Macy</t>
  </si>
  <si>
    <t>张总</t>
  </si>
  <si>
    <t>远程监控</t>
  </si>
  <si>
    <t>1、远程监控不处理</t>
  </si>
  <si>
    <t>1、每人每周值班（每周日汇报）</t>
  </si>
  <si>
    <t>Ken/Macy/Marx</t>
  </si>
  <si>
    <t>Lontri软件
杜基产品
Hope产品</t>
  </si>
  <si>
    <t>1、光疗室立面LTP没复现蓝屏发生
2、三个房间GridEYE数据不加载
3、冥想是ipad控制音乐，扬声器不播放。（hope屏可以）；故障：Hope 中控屏系统自动更新后，默认播放器由原定制对接的酷狗音乐更换为 QQ 音乐，导致 485 控制链路、iPad 网页端场景调用 / 单控指令失效，仅中控屏本地可手动播放本地音乐，扬声器无外放</t>
  </si>
  <si>
    <r>
      <t xml:space="preserve">1、LTP事项约厂家 0329日 周日 到现场排查
2、Grideye网关离线，后续自己上线（只重启了一个网关）；另外，还有Socket不带Grideye数据处理，重新生成MQTTGridEYE的Socket后恢复正常。
0323更新：因和博湃生成测试在一个服务器，Grideye数据太大影响博湃生产，已迁至 GridEYE 服务器。
3、冥想是声音：恢复中控屏出厂设置，还原酷狗音乐环境，登录有酷狗会员的账号，锁定系统 / APP 版本，禁用自动更新，重新部署本地音乐与 485 控制链路，但会导致本地音乐文件全部丢失，需重新拷贝配置。 </t>
    </r>
    <r>
      <rPr>
        <b/>
        <sz val="11"/>
        <color theme="1"/>
        <rFont val="宋体"/>
        <charset val="134"/>
        <scheme val="minor"/>
      </rPr>
      <t>0329日 周日 到现场解决</t>
    </r>
  </si>
  <si>
    <t>1、光疗室立面LTP又发生蓝屏（LTP厂家到现场排查）
2、冥想是声音：恢复中控屏出厂设置，还原酷狗音乐环境，重导入音乐文件</t>
  </si>
  <si>
    <t>1、LTP厂家回复因长期未使用及近期环境潮湿影响信号接触点（卡与卡槽）延迟。
使用流程说明：LTP本身有开关功能。开机上电=断电前场景（自动切换“春”）/如断电前是关状态就一直处于蓝屏，需手动切换场景。
2、清除所有数据（恢复出厂设置），重新拷贝音乐文件（储存SD卡），重新获取歌曲id以及重新拼接控制指令和更新代码。后恢复控制</t>
  </si>
  <si>
    <t>吴大姐</t>
  </si>
  <si>
    <t>CU测试</t>
  </si>
  <si>
    <t>1、第一步扫码入网就开始失败。
2、CU测试“SRID”步骤及CU参数校验失败。</t>
  </si>
  <si>
    <t>1、原因是因为网关离线；更换了新的无线路由器及更改适配的GW网段后，网关恢复上线。
2、原因是：硬件用bin文件去OTA CU，这种方式不会修改CU的参数配置，和烧入用的文件是不一样。
2.1从没问题的CU克隆出来烧录文件更新还未烧录CU；
2.2针对已烧录的CU在测试架入网后，通过配置工具修正参数。</t>
  </si>
  <si>
    <t>1、CU测试架CU扫码入网失败</t>
  </si>
  <si>
    <t>1、原因是因为网关离线；因和上海交大在一个服务器，Grideye数据太大影响博湃生产，已将GridEYE迁至 GridEYE 服务器。后GW上线，恢复测试，</t>
  </si>
  <si>
    <t>Jessica</t>
  </si>
  <si>
    <t>增补</t>
  </si>
  <si>
    <t>1#楼1-4F-4个网口面板加硅胶</t>
  </si>
  <si>
    <t>派工人完成</t>
  </si>
  <si>
    <t>Ken/王工</t>
  </si>
  <si>
    <t>1#楼1F新增投影2个-MCBOX</t>
  </si>
  <si>
    <t>派工人安装，网线已布好</t>
  </si>
  <si>
    <t>1#楼1F新增投影2个-RS232转RS485转换器</t>
  </si>
  <si>
    <t>货到后，派工人安装</t>
  </si>
  <si>
    <t>维修</t>
  </si>
  <si>
    <t>1#楼1F更换5个SCU</t>
  </si>
  <si>
    <t>工人更换，macy配置面板，Ken现场验证</t>
  </si>
  <si>
    <t>Ken/Macy/王工</t>
  </si>
  <si>
    <t>1#楼2F更换1套SP550变色温线条灯驱动</t>
  </si>
  <si>
    <t>工人更换，带75W变色温驱动</t>
  </si>
  <si>
    <t>1#2F阳台更换1个DALI bridge（灯具不亮）</t>
  </si>
  <si>
    <t>工人更换，Ken现场验证成功</t>
  </si>
  <si>
    <t>1#楼4F-VIP包间安装2个OCSR</t>
  </si>
  <si>
    <t>工人安装，带1.5²红、蓝、黄绿双色线+φ16或者φ20的金属软管（穿5根线）1卷（30米）安装</t>
  </si>
  <si>
    <t>3#楼智控箱整改：换4G加长天线</t>
  </si>
  <si>
    <t>工人更换</t>
  </si>
  <si>
    <t>智控箱整改：加装导轨卡扣固定明纬电源</t>
  </si>
  <si>
    <t>3#楼智控箱整改：门损坏</t>
  </si>
  <si>
    <t>用燕尾螺丝锁紧</t>
  </si>
  <si>
    <t>2#楼2F更换1个长地址CU</t>
  </si>
  <si>
    <t>固件升级</t>
  </si>
  <si>
    <t>1#行政楼和2#车间网关烧录</t>
  </si>
  <si>
    <t>领致李工和Ken到现场烧录，完成1#15个，2#1F25个；完成2#2F-15,3F-1,3#-1个，</t>
  </si>
  <si>
    <t>3F电视机安装2套RS232转RS485转换器</t>
  </si>
  <si>
    <t>ken现场安装，MCBOX-3个，网线1卷，接线端子1包，转换器2个，公对公接头2个</t>
  </si>
  <si>
    <t>3F外遮阳窗帘拆装2个MCBOX（重新装一下）</t>
  </si>
  <si>
    <t>重新安装</t>
  </si>
  <si>
    <t>天花换板需打孔安装OCSR-3个</t>
  </si>
  <si>
    <t>现场打孔和按照</t>
  </si>
  <si>
    <t>Marx/Macy</t>
  </si>
  <si>
    <t>调试</t>
  </si>
  <si>
    <t>MTC配置-有3个会议室尚未配好，</t>
  </si>
  <si>
    <t>Marx图纸上标出位置，Macy补配</t>
  </si>
  <si>
    <t>Macy</t>
  </si>
  <si>
    <t>SNS210的Holdtime和心跳间隔统一</t>
  </si>
  <si>
    <t>Macy把会议室Holdtime统一到900S，心跳间隔到120S</t>
  </si>
  <si>
    <t>走道OCSR未做触发源-3F三个</t>
  </si>
  <si>
    <t>Macy先移动到GW301，再配置为触发源</t>
  </si>
  <si>
    <t>仓库厕所-疑似Bridge损坏，现场更换</t>
  </si>
  <si>
    <t>现场更换后回复正常</t>
  </si>
  <si>
    <t>Ken/余工</t>
  </si>
  <si>
    <t>SNS210覆盖范围整改-洛基、安第斯、天山会议室人感探头在门口，无法覆盖整个会议桌</t>
  </si>
  <si>
    <t>Ken标定新位置，现场工人整改</t>
  </si>
  <si>
    <t>VIP包间OCSR整改</t>
  </si>
  <si>
    <t>Ken标定新位置，现场工人整改（移至门口）</t>
  </si>
  <si>
    <t>Joan</t>
  </si>
  <si>
    <t>4F电梯厅发光膜色温不一致-点不一样的那部分灯带数量</t>
  </si>
  <si>
    <t>4F-Joan联系总包拆换（现有库存35米，8.17带过去）4F-8.19采购100米，8.28周日约工人整改</t>
  </si>
  <si>
    <t>工人</t>
  </si>
  <si>
    <t>接待室（报告厅与VIP包间之间的房间）靠门口筒灯更换</t>
  </si>
  <si>
    <t>现场完成更换</t>
  </si>
  <si>
    <t>Mark</t>
  </si>
  <si>
    <t>报告厅面板灯熄灯场景丢包</t>
  </si>
  <si>
    <t>Mark现场场景控制，验证场景是否丢失，补配</t>
  </si>
  <si>
    <t>报告厅门口SNS210人感触发灯有时候不能亮起</t>
  </si>
  <si>
    <t xml:space="preserve"> Mark现场抓包测试人感上报</t>
  </si>
  <si>
    <t>VIP包间配置-面板和SNS210</t>
  </si>
  <si>
    <t>已配置macy下发指令不受控，9.1macy回复灯带人来灯亮需要现场验证；9.7-更换3个SNS210，Macy重新配置后工人现场验证没问题</t>
  </si>
  <si>
    <t>冥王星会议室筒灯偶发闪烁不开灯（偶发）面板</t>
  </si>
  <si>
    <t>Jessica找工人现场整改-如何整改？Mark现场整改；9.1硬件设备优化，测试中，更换SCU</t>
  </si>
  <si>
    <t>4F-5个筒灯不受控，Mark推测是DALI线松动</t>
  </si>
  <si>
    <t>Jessica找工人现场整改：已重新接线用电工胶带加固；Mark更换筒灯</t>
  </si>
  <si>
    <t>4F-灯带更换0-10V BRIDGE+SNS210-2套</t>
  </si>
  <si>
    <t>备品数量3套</t>
  </si>
  <si>
    <t>2F-更换损坏的Enocean面板1个</t>
  </si>
  <si>
    <t>Jessica找工人现场更换：把ID发macy配置好后，工人负责安装</t>
  </si>
  <si>
    <t>2F-筒灯不亮-1个（RS378 P11 PSD)</t>
  </si>
  <si>
    <t>Jessica找工人现场检修</t>
  </si>
  <si>
    <t>Macy/Ken</t>
  </si>
  <si>
    <t>外遮阳控制返回：50%， Macy,配置，Ken确认；9.13反映50%未升起</t>
  </si>
  <si>
    <t>9.12确认已完成-Macy</t>
  </si>
  <si>
    <t>1F食堂发现两个SNS210无法开灯，实测下来基本可以确认是Bridge损坏，需要更换</t>
  </si>
  <si>
    <t>定位硬件问题更换2个bridge</t>
  </si>
  <si>
    <t>大厅门口的感应门廊，小射灯不亮，实测下来SNS210和Bridge都没损坏，应该是SNS210被金属结构屏蔽信号无法与网关通讯开灯，建议更换SCU或者OCSR</t>
  </si>
  <si>
    <t>定位硬件问题更换1个SCU</t>
  </si>
  <si>
    <t>2F走道一个SNS210无法开灯，问题应该数量上述两给问题之一，建议将SNS210+Bridge更换为OCSR</t>
  </si>
  <si>
    <t>定位硬件问题更换1个bridge</t>
  </si>
  <si>
    <t>用户需求调整</t>
  </si>
  <si>
    <t>车间2F机房&amp;办公室门口走道照度调整:  
图纸红框内（走道）亮度降低 调整至
160-180Lx</t>
  </si>
  <si>
    <t>前端界面配置完成</t>
  </si>
  <si>
    <t>车间2F - Rnd实验室灯具开关调整:  
红色框内灯具永久关闭；其余保持人感。</t>
  </si>
  <si>
    <t>车间1F-Rnd实验室照度调整:  
1、8:00--17:00常亮；
2、其余时间人感；</t>
  </si>
  <si>
    <t>车间休息区照度调整:开机亮度70%；2F</t>
  </si>
  <si>
    <t>办公楼南面一排照明（靠窗）开机亮度
调整50%；2F</t>
  </si>
  <si>
    <t>办公楼1F餐厅6：30-9：00；10：30-13：00；16：30-19：30 三个时段常亮，其余时间关闭</t>
  </si>
  <si>
    <t>2#车间西北角靠近高架仓库卫生间上方三盏灯 要求关闭</t>
  </si>
  <si>
    <t>ABB-P6 1#行政楼 1F大厅空调的开机温度需由18度调整至24度</t>
  </si>
  <si>
    <t>ABB-P61#行政楼2-3F办公区域人感关灯的逻辑需调整为人离开后10分钟灯变暗，再过5分钟关灯</t>
  </si>
  <si>
    <t>ABB-P62#车间材料仓库卫生间触发CU灯不亮；现场工人配合排查Bridge故障</t>
  </si>
  <si>
    <t>已邮寄新的Bridge到现场，完成更换</t>
  </si>
  <si>
    <t>ABB-P6行政楼 2F货梯电梯厅筒灯不亮</t>
  </si>
  <si>
    <t>经现场配合排查，接线松动导致；已修复</t>
  </si>
  <si>
    <t>ABB-P6行政楼 1F餐厅就餐时段灯不亮   （时控失效）</t>
  </si>
  <si>
    <t>查到1F餐厅GW离线；现场配合插拔网线后上线</t>
  </si>
  <si>
    <t>ABB-桑工</t>
  </si>
  <si>
    <t>APP土星会议室210不亮</t>
  </si>
  <si>
    <t>ABB桑工替换备品Bridge后恢复正常</t>
  </si>
  <si>
    <t>ABB-桑工/Macy</t>
  </si>
  <si>
    <t>行政办公楼1楼小卖部四个面板灯不亮，但是SNS210的指示灯是亮的</t>
  </si>
  <si>
    <t>Macy反馈网关里能看到SNS210这个设备，目前看下来，可能的原因是：
1.Bridge线松了；（让桑工下午去排查接线了，桑工反馈线是好的没有松）
2.Bridge故障了，输出端故障；</t>
  </si>
  <si>
    <t>车间1F:女厕所灯不灭</t>
  </si>
  <si>
    <t>Bridge未配置</t>
  </si>
  <si>
    <t>Marx/工人</t>
  </si>
  <si>
    <t>车间2F:厕所灯不灭</t>
  </si>
  <si>
    <t>Bridge故障-更换0-10Vbridge</t>
  </si>
  <si>
    <t>行政办公楼4楼电梯厅右侧走道</t>
  </si>
  <si>
    <t>Bridge故障；</t>
  </si>
  <si>
    <t>办公楼4F:走廊灯不亮；</t>
  </si>
  <si>
    <t>OCSR离网</t>
  </si>
  <si>
    <t>6F的茶水间灯有2个坏</t>
  </si>
  <si>
    <t>2023.6.16Jessica发2套9.6W筒灯到现场（顺丰SF15102890057113）</t>
  </si>
  <si>
    <t>办公楼3F:筒灯不亮；
问题观察：
1.SNS210指示灯亮着；
2.筒灯不亮，关闭电源再上电后依旧不亮
3.现场樊工检查接线正常；
4.云端开灯控制和面板开灯控制都无反应
5.万用表测量SR Bridge的输出端无电压
结论：
1.Bridge的强电输出端损坏</t>
  </si>
  <si>
    <t>现场实际排查下来是Bridge的强电输出端子有裂开，更换Bridge之后恢复正常，实测面板控制也恢复正常，因手机摄像头被贴无法拍视频</t>
  </si>
  <si>
    <t>车间2楼：网关离线</t>
  </si>
  <si>
    <t>2023.7.12Mark现场排查如下：
①211网关所在交换机为华为8口，存在编号为“1”的网线POE指示灯未点亮，重新插拔后未恢复，跟正常网线互换网口后，POE指示灯的状态跟着“1”号网线走，基本判断网关端或者网关跟网线的连接存在一定问题，两次重新插拔之后211网关恢复上线；
②206网关所在交换机是24口，观察已经查了网线的网口指示灯正常闪烁，给POE交换机断电再上电重启后601网关未恢复上线，POE交换机上的网线重新插拔后未恢复上线；</t>
  </si>
  <si>
    <t>213网关的定时开灯分组漏掉了9个CU（Mark现场已修复）</t>
  </si>
  <si>
    <t>GW213-SR050  前端补配组一次成功
GW213-SR052  前端配组尝试超过5次不成功，串口配组一次性成功
GW213-SR053  前端配组尝试超过5次不成功，串口配组一次性成功
GW213-SR042  前端补配组一次成功
GW213-SR035  前端补配组一次成功
GW213-SR029  前端配组尝试超过5次不成功，串口配组一次性成功
GW213-SR020  前端补配组一次成功
GW213-SR018  前端补配组一次成功
GW213-SR003  前端补配组一次成功</t>
  </si>
  <si>
    <t>ABB-沈亮</t>
  </si>
  <si>
    <t>沈亮提出9:30以前期望其实是和16.30之后一样的状态：关掉之前50％</t>
  </si>
  <si>
    <t>客户有活动，要求开灯并关闭定时控制</t>
  </si>
  <si>
    <t>7.28晚上恢复定时控制</t>
  </si>
  <si>
    <t>7.29晚上ABB SP整栋楼不关灯</t>
  </si>
  <si>
    <t>8.1飞利浦工程师现场排查；
8.2Mark公司内测试1.1.16版本固件的结论是：
1.没有蓝牙自组网的SNS210实测确实不会关灯；
2.蓝牙自组网之后，确实可以正常关灯；
3.蓝牙自组网之后，可以开启组内联动功能，任意一个探头感应，组内其它探头会保持在背景亮度</t>
  </si>
  <si>
    <t>Mark/Macy/Marx/Joan/Jessica</t>
  </si>
  <si>
    <t>2#车间要求8月份周六周日改成感应模式</t>
  </si>
  <si>
    <t>8.12周六调，并做系统升级</t>
  </si>
  <si>
    <t>行政楼走道/车间参观通道人走灯不灭（108、110、118、123网关离线）</t>
  </si>
  <si>
    <t>8.16全部上线</t>
  </si>
  <si>
    <t>窗帘外遮阳升到顶</t>
  </si>
  <si>
    <t>排查是8月15日19：47左右，窗帘总线下发升起的</t>
  </si>
  <si>
    <t>2F办公楼有灯不灭（有一个离网的OCSR）</t>
  </si>
  <si>
    <t>不灭不排除有人触发的，@Mark 离线的OCSR，重新接线后恢复</t>
  </si>
  <si>
    <t>Macy/Mark</t>
  </si>
  <si>
    <t>窗帘：白天50%。晚上可以升上去。</t>
  </si>
  <si>
    <t>重新配置：白天下降50%，
晚上9点开始窗帘会全部升起</t>
  </si>
  <si>
    <t>P6 车间照明将从9.25--10.6调整为感应模式。10.7恢复（关注：10.7 和10.8 日历为周末，实际是工作日）</t>
  </si>
  <si>
    <t>10.8下午过去现场排查211网关未离线，原因未找到，现场已恢复</t>
  </si>
  <si>
    <t>P6车间2F有1套高天棚BY750P LED80/NW WB PSD不亮（CU指示灯也不亮）</t>
  </si>
  <si>
    <t>疑似CU接线松动，杜工现场排查后是灯具问题，从其他地方拆灯后恢复；10.18寄一套备品过去；10.20带回公司，检修是驱动故障</t>
  </si>
  <si>
    <t>Jessica/杜工</t>
  </si>
  <si>
    <t>1F电梯厅灯带1-10V驱动故障2个</t>
  </si>
  <si>
    <t>10.31寄备品2个Xi LED Transformer 30W 1-10V 24VDC给桑工</t>
  </si>
  <si>
    <t>Jessica/桑工</t>
  </si>
  <si>
    <t>档案室2个SNS210指示灯亮，灯常亮，无面板开关，云端可控（外间的SNS210控4个面板灯，里间的SNS210控2个筒灯）；</t>
  </si>
  <si>
    <t>更换为SCU后可控</t>
  </si>
  <si>
    <t>Jessica/工人</t>
  </si>
  <si>
    <t>ABB-陈绪龙</t>
  </si>
  <si>
    <t>1F、2F仓库盘点调整亮度</t>
  </si>
  <si>
    <t>现场确认具体需求，前端界面配置完成</t>
  </si>
  <si>
    <t>Macy/Marx</t>
  </si>
  <si>
    <t>1F 2-136茶水间灯不亮，CU指示灯也不亮，</t>
  </si>
  <si>
    <t>断电重启也不亮，可能是bridge故障，更换bridge后恢复</t>
  </si>
  <si>
    <t>Marx/Jessica/工人</t>
  </si>
  <si>
    <t>卫生间灯不亮</t>
  </si>
  <si>
    <t>更换OCSR后恢复</t>
  </si>
  <si>
    <t>ABB-P6外遮阳手动面板、云端均不受控</t>
  </si>
  <si>
    <t>是因为外遮阳的风雨传感器优先级最高，拆除后云端、面板均受控</t>
  </si>
  <si>
    <t>1F车间南面的4个灯亮了</t>
  </si>
  <si>
    <t>手动关灯，CU配置了开机亮度为0，但是没有起作用</t>
  </si>
  <si>
    <t>车间2楼东侧的生产区域亮度调为100%</t>
  </si>
  <si>
    <t xml:space="preserve">开机亮度调为100% </t>
  </si>
  <si>
    <t>调整办公楼的空调打开时间7：20</t>
  </si>
  <si>
    <t>操作数据库完成需求更改</t>
  </si>
  <si>
    <t>车间2楼南侧的空地恢复100%亮度</t>
  </si>
  <si>
    <t>网关GW0210离线，现场手动重启后，完成开机亮度的配置</t>
  </si>
  <si>
    <t>ABB-张俊</t>
  </si>
  <si>
    <t>行政楼二楼哈雷彗星灯不亮</t>
  </si>
  <si>
    <t>将210换成了SCU</t>
  </si>
  <si>
    <t>Macy/Marx/Mark</t>
  </si>
  <si>
    <t>餐厅区域和走道的空调在13：30~16：00关闭</t>
  </si>
  <si>
    <t>车间1F东面的灯亮度调成50%</t>
  </si>
  <si>
    <t>办公楼的窗帘调整：06:00~09:30 关闭
                  09:30~20:00 50%
                  20:00之后 开
办公楼2F&amp;3F的空调 06:30开启</t>
  </si>
  <si>
    <t>办公楼的窗帘、空调和车间的灯都没有在时间点上有动作</t>
  </si>
  <si>
    <t>阿里云上的服务器受到攻击，重启数据库服务和定时服务</t>
  </si>
  <si>
    <t>1F餐厅的灯没有定时开</t>
  </si>
  <si>
    <t>昨天为避免数据库被攻击，改了数据库的配置，对应程序那边有遗漏</t>
  </si>
  <si>
    <t>阿里云上的服务器受到攻击，重启定时服务</t>
  </si>
  <si>
    <t>ABB-张新建</t>
  </si>
  <si>
    <t>有活动，办公室1F餐厅8、9号午后不关灯</t>
  </si>
  <si>
    <t>将Schedule中餐厅午后1点后的关灯设置成无效</t>
  </si>
  <si>
    <t>2#生产车间路由器离线/GW离线、3#喷漆车间GW离线</t>
  </si>
  <si>
    <t>路由器和网关均已上线
路由器重启、重新插拔物联网卡后上线
GW重启路由器、重插拔网线后上线</t>
  </si>
  <si>
    <t>1#办公楼巡检（智慧工厂复审提前演练）
2F小会议室，地图控制响应慢；
2个会议室面板控制丢包；
4F三合一大会议室面板场景投影仪不受控（4个中3个不受控）</t>
  </si>
  <si>
    <t>地图控制：网络延迟
面板：首次使用会出现丢包现象
面板场景：地图界面开启MCbox后 面板场景投影仪受控</t>
  </si>
  <si>
    <t>车间1F 具体是靠右墙的18个灯，其中有个别的不亮，人感也不亮；</t>
  </si>
  <si>
    <t>更新设备状态，后恢复</t>
  </si>
  <si>
    <t>车间2楼 最南边走道房间上方一排灯闪烁</t>
  </si>
  <si>
    <t>调整配置需求7：00-14：00；常亮，照度100%
现场反馈 北面走道及GW114区域下；部分灯具未配置成功处于人感模式；云端查不到这些设备参数；GW114离线；</t>
  </si>
  <si>
    <t>重启网关后恢复,前端界面配置完成</t>
  </si>
  <si>
    <t>1F大厅挑高区筒灯不亮，面板、云端不受控；
GW在线；210+Bridge组合</t>
  </si>
  <si>
    <t>第一步：重启强电电源；第二步：重启交换机；后亮了两排灯；再过了一段时间后恢复正常。现场验证了十几次均正常。</t>
  </si>
  <si>
    <t>Ken/Marx</t>
  </si>
  <si>
    <t>3F 右下角办公室 有一组（三盏）wireless面板灯；人感灯不亮；遥控不可控；OCSR+wireless变色温驱动组合；</t>
  </si>
  <si>
    <t>OCSR参数查不到，云端单灯可控，人感不开灯，
检查电源OCSR指示灯和面板灯都是有电的；
重新断电再上电后，功能都恢复正常。</t>
  </si>
  <si>
    <r>
      <t>开放办公区（P6 行政楼 2F 东侧）问题</t>
    </r>
    <r>
      <rPr>
        <sz val="11"/>
        <color theme="1"/>
        <rFont val="宋体"/>
        <charset val="134"/>
        <scheme val="minor"/>
      </rPr>
      <t xml:space="preserve">
大面积变色温平板灯未亮；
未亮灯具附近的 OCSR 人感传感器指示灯不亮；
部分 OCSR 参数在系统中查询不到；
办公区走道南侧（靠近停车场区域）灯具仍不亮（首次单播开灯后）。
</t>
    </r>
    <r>
      <rPr>
        <b/>
        <sz val="11"/>
        <color theme="1"/>
        <rFont val="宋体"/>
        <charset val="134"/>
        <scheme val="minor"/>
      </rPr>
      <t>银河系会议室问题</t>
    </r>
    <r>
      <rPr>
        <sz val="11"/>
        <color theme="1"/>
        <rFont val="宋体"/>
        <charset val="134"/>
        <scheme val="minor"/>
      </rPr>
      <t xml:space="preserve">
灯具不亮，人感触发后传感器指示灯不亮；
控制面板无法控制灯具。</t>
    </r>
  </si>
  <si>
    <t>开放办公区排查
第一步：查询网关状态，确认全部在线；
第二步：通过系统地图界面单播方式开启灯具，现场反馈未亮且 OCSR 指示灯不亮；
第三步：Macy 查询 OCSR 参数，部分参数未查询到；
第四步：再次在地图界面单播开启走道南侧灯具，全部灯具亮起；
第五步：确认 OCSR 人感指示灯恢复正常，系统可查询到 OCSR 状态。
银河系会议室排查
第一步：在地图界面单播开灯，灯具未响应；
第二步：通过网关广播方式开灯，灯具亮起；
第三步：确认人感触发后传感器指示灯亮，面板控制恢复正常。
其他信息
空调状态：反馈按预设时控正常开启，无异常。</t>
  </si>
  <si>
    <t>06:00~09:30   关闭
09:30 20:00   下降50%
20:00~之后    全开</t>
  </si>
  <si>
    <t>2026/3/25 窗帘今天没有执行命令</t>
  </si>
  <si>
    <t>现场创蓝没有按照这个逻辑运行
部分是全开，有部分全关</t>
  </si>
  <si>
    <t>时间点补发手动控制指令；
梳理相关日志和指令信息；进行问题定位
最后判断指令成功下发，因现场手动控制导致误以为未按预期执行现象；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</si>
</sst>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/>
    <xf numFmtId="0" fontId="0" fillId="0" borderId="1" xfId="0" applyFill="1" applyBorder="1" applyAlignment="1"/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58" fontId="0" fillId="0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H3" sqref="H3:H6"/>
    </sheetView>
  </sheetViews>
  <sheetFormatPr defaultColWidth="8.88888888888889" defaultRowHeight="14.4" outlineLevelRow="5"/>
  <cols>
    <col min="1" max="2" width="8.88888888888889" style="2"/>
    <col min="3" max="3" width="10.7777777777778" style="3" customWidth="1"/>
    <col min="4" max="4" width="12.1111111111111" style="2" customWidth="1"/>
    <col min="5" max="5" width="59.8888888888889" style="1" customWidth="1"/>
    <col min="6" max="6" width="61.6666666666667" style="4" customWidth="1"/>
    <col min="7" max="7" width="16" style="5" customWidth="1"/>
    <col min="8" max="8" width="8.88888888888889" style="2"/>
    <col min="9" max="9" width="10.2222222222222" style="2" customWidth="1"/>
    <col min="10" max="10" width="27.7777777777778" style="5" customWidth="1"/>
    <col min="11" max="16384" width="8.88888888888889" style="5"/>
  </cols>
  <sheetData>
    <row r="1" ht="20" customHeight="1" spans="1:10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="1" customFormat="1" ht="28.8" spans="1:10">
      <c r="A2" s="8">
        <f t="shared" ref="A2:A6" si="0">ROW()-1</f>
        <v>1</v>
      </c>
      <c r="B2" s="8" t="s">
        <v>10</v>
      </c>
      <c r="C2" s="9" t="s">
        <v>11</v>
      </c>
      <c r="D2" s="20">
        <v>46099</v>
      </c>
      <c r="E2" s="11" t="s">
        <v>12</v>
      </c>
      <c r="F2" s="12" t="s">
        <v>13</v>
      </c>
      <c r="G2" s="12" t="s">
        <v>14</v>
      </c>
      <c r="H2" s="8" t="s">
        <v>15</v>
      </c>
      <c r="I2" s="20">
        <v>46099</v>
      </c>
      <c r="J2" s="13"/>
    </row>
    <row r="3" ht="43.2" spans="1:10">
      <c r="A3" s="8">
        <f t="shared" si="0"/>
        <v>2</v>
      </c>
      <c r="B3" s="8" t="s">
        <v>10</v>
      </c>
      <c r="C3" s="9" t="s">
        <v>11</v>
      </c>
      <c r="D3" s="20">
        <v>46101</v>
      </c>
      <c r="E3" s="11" t="s">
        <v>16</v>
      </c>
      <c r="F3" s="11" t="s">
        <v>17</v>
      </c>
      <c r="G3" s="12" t="s">
        <v>18</v>
      </c>
      <c r="H3" s="8" t="s">
        <v>15</v>
      </c>
      <c r="I3" s="20">
        <v>46101</v>
      </c>
      <c r="J3" s="13"/>
    </row>
    <row r="4" ht="20" customHeight="1" spans="1:10">
      <c r="A4" s="8">
        <f t="shared" si="0"/>
        <v>3</v>
      </c>
      <c r="B4" s="8" t="s">
        <v>19</v>
      </c>
      <c r="C4" s="9" t="s">
        <v>20</v>
      </c>
      <c r="D4" s="20">
        <v>46101</v>
      </c>
      <c r="E4" s="11" t="s">
        <v>21</v>
      </c>
      <c r="F4" s="11" t="s">
        <v>22</v>
      </c>
      <c r="G4" s="12" t="s">
        <v>23</v>
      </c>
      <c r="H4" s="8" t="s">
        <v>15</v>
      </c>
      <c r="I4" s="20">
        <v>46101</v>
      </c>
      <c r="J4" s="13"/>
    </row>
    <row r="5" ht="144" spans="1:10">
      <c r="A5" s="8">
        <f t="shared" si="0"/>
        <v>4</v>
      </c>
      <c r="B5" s="8" t="s">
        <v>14</v>
      </c>
      <c r="C5" s="9" t="s">
        <v>24</v>
      </c>
      <c r="D5" s="20">
        <v>46103</v>
      </c>
      <c r="E5" s="11" t="s">
        <v>25</v>
      </c>
      <c r="F5" s="14" t="s">
        <v>26</v>
      </c>
      <c r="G5" s="12" t="s">
        <v>18</v>
      </c>
      <c r="H5" s="8" t="s">
        <v>15</v>
      </c>
      <c r="I5" s="20">
        <v>46110</v>
      </c>
      <c r="J5" s="15"/>
    </row>
    <row r="6" ht="100.8" spans="1:10">
      <c r="A6" s="8">
        <f t="shared" si="0"/>
        <v>5</v>
      </c>
      <c r="B6" s="8" t="s">
        <v>14</v>
      </c>
      <c r="C6" s="9" t="s">
        <v>24</v>
      </c>
      <c r="D6" s="20">
        <v>46103</v>
      </c>
      <c r="E6" s="11" t="s">
        <v>27</v>
      </c>
      <c r="F6" s="11" t="s">
        <v>28</v>
      </c>
      <c r="G6" s="12" t="s">
        <v>18</v>
      </c>
      <c r="H6" s="8" t="s">
        <v>15</v>
      </c>
      <c r="I6" s="20">
        <v>46110</v>
      </c>
      <c r="J6" s="1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workbookViewId="0">
      <selection activeCell="H3" sqref="H3"/>
    </sheetView>
  </sheetViews>
  <sheetFormatPr defaultColWidth="8.88888888888889" defaultRowHeight="14.4"/>
  <cols>
    <col min="1" max="3" width="8.88888888888889" style="5"/>
    <col min="4" max="4" width="13.2222222222222" style="5" customWidth="1"/>
    <col min="5" max="5" width="52.4444444444444" style="5" customWidth="1"/>
    <col min="6" max="6" width="57.8888888888889" style="5" customWidth="1"/>
    <col min="7" max="8" width="8.88888888888889" style="5"/>
    <col min="9" max="9" width="15.6666666666667" style="5" customWidth="1"/>
    <col min="10" max="10" width="26.3333333333333" style="5" customWidth="1"/>
    <col min="11" max="16384" width="8.88888888888889" style="5"/>
  </cols>
  <sheetData>
    <row r="1" ht="20" customHeight="1" spans="1:10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86.4" spans="1:10">
      <c r="A2" s="8">
        <f>ROW()-1</f>
        <v>1</v>
      </c>
      <c r="B2" s="8" t="s">
        <v>29</v>
      </c>
      <c r="C2" s="8" t="s">
        <v>30</v>
      </c>
      <c r="D2" s="19">
        <v>46092</v>
      </c>
      <c r="E2" s="11" t="s">
        <v>31</v>
      </c>
      <c r="F2" s="11" t="s">
        <v>32</v>
      </c>
      <c r="G2" s="8" t="s">
        <v>14</v>
      </c>
      <c r="H2" s="8" t="s">
        <v>15</v>
      </c>
      <c r="I2" s="20">
        <v>46092</v>
      </c>
      <c r="J2" s="8"/>
    </row>
    <row r="3" ht="43.2" spans="1:10">
      <c r="A3" s="8">
        <f>ROW()-1</f>
        <v>2</v>
      </c>
      <c r="B3" s="8" t="s">
        <v>29</v>
      </c>
      <c r="C3" s="8" t="s">
        <v>30</v>
      </c>
      <c r="D3" s="19">
        <v>46097</v>
      </c>
      <c r="E3" s="11" t="s">
        <v>33</v>
      </c>
      <c r="F3" s="11" t="s">
        <v>34</v>
      </c>
      <c r="G3" s="8" t="s">
        <v>18</v>
      </c>
      <c r="H3" s="8" t="s">
        <v>15</v>
      </c>
      <c r="I3" s="20">
        <v>46092</v>
      </c>
      <c r="J3" s="8"/>
    </row>
    <row r="4" spans="1:10">
      <c r="A4" s="3"/>
      <c r="B4" s="3"/>
      <c r="C4" s="3"/>
      <c r="D4" s="3"/>
      <c r="E4" s="21"/>
      <c r="F4" s="21"/>
      <c r="G4" s="3"/>
      <c r="H4" s="3"/>
      <c r="I4" s="3"/>
      <c r="J4" s="3"/>
    </row>
    <row r="5" spans="1:10">
      <c r="A5" s="3"/>
      <c r="B5" s="3"/>
      <c r="C5" s="3"/>
      <c r="D5" s="3"/>
      <c r="E5" s="21"/>
      <c r="F5" s="21"/>
      <c r="G5" s="3"/>
      <c r="H5" s="3"/>
      <c r="I5" s="3"/>
      <c r="J5" s="3"/>
    </row>
    <row r="6" spans="1:10">
      <c r="A6" s="3"/>
      <c r="B6" s="3"/>
      <c r="C6" s="3"/>
      <c r="D6" s="3"/>
      <c r="E6" s="21"/>
      <c r="F6" s="21"/>
      <c r="G6" s="3"/>
      <c r="H6" s="3"/>
      <c r="I6" s="3"/>
      <c r="J6" s="3"/>
    </row>
    <row r="7" spans="1:10">
      <c r="A7" s="3"/>
      <c r="B7" s="3"/>
      <c r="C7" s="3"/>
      <c r="D7" s="3"/>
      <c r="E7" s="21"/>
      <c r="F7" s="21"/>
      <c r="G7" s="3"/>
      <c r="H7" s="3"/>
      <c r="I7" s="3"/>
      <c r="J7" s="3"/>
    </row>
    <row r="8" spans="1:10">
      <c r="A8" s="3"/>
      <c r="B8" s="3"/>
      <c r="C8" s="3"/>
      <c r="D8" s="3"/>
      <c r="E8" s="21"/>
      <c r="F8" s="21"/>
      <c r="G8" s="3"/>
      <c r="H8" s="3"/>
      <c r="I8" s="3"/>
      <c r="J8" s="3"/>
    </row>
    <row r="9" spans="1:10">
      <c r="A9" s="3"/>
      <c r="B9" s="3"/>
      <c r="C9" s="3"/>
      <c r="D9" s="3"/>
      <c r="E9" s="21"/>
      <c r="F9" s="21"/>
      <c r="G9" s="3"/>
      <c r="H9" s="3"/>
      <c r="I9" s="3"/>
      <c r="J9" s="3"/>
    </row>
    <row r="10" spans="1:10">
      <c r="A10" s="3"/>
      <c r="B10" s="3"/>
      <c r="C10" s="3"/>
      <c r="D10" s="3"/>
      <c r="E10" s="21"/>
      <c r="F10" s="21"/>
      <c r="G10" s="3"/>
      <c r="H10" s="3"/>
      <c r="I10" s="3"/>
      <c r="J10" s="3"/>
    </row>
    <row r="11" spans="1:10">
      <c r="A11" s="3"/>
      <c r="B11" s="3"/>
      <c r="C11" s="3"/>
      <c r="D11" s="3"/>
      <c r="E11" s="21"/>
      <c r="F11" s="21"/>
      <c r="G11" s="3"/>
      <c r="H11" s="3"/>
      <c r="I11" s="3"/>
      <c r="J11" s="3"/>
    </row>
    <row r="12" spans="1:10">
      <c r="A12" s="3"/>
      <c r="B12" s="3"/>
      <c r="C12" s="3"/>
      <c r="D12" s="3"/>
      <c r="E12" s="21"/>
      <c r="F12" s="21"/>
      <c r="G12" s="3"/>
      <c r="H12" s="3"/>
      <c r="I12" s="3"/>
      <c r="J12" s="3"/>
    </row>
    <row r="13" spans="1:10">
      <c r="A13" s="3"/>
      <c r="B13" s="3"/>
      <c r="C13" s="3"/>
      <c r="D13" s="3"/>
      <c r="E13" s="21"/>
      <c r="F13" s="21"/>
      <c r="G13" s="3"/>
      <c r="H13" s="3"/>
      <c r="I13" s="3"/>
      <c r="J13" s="3"/>
    </row>
    <row r="14" spans="1:10">
      <c r="A14" s="3"/>
      <c r="B14" s="3"/>
      <c r="C14" s="3"/>
      <c r="D14" s="3"/>
      <c r="E14" s="21"/>
      <c r="F14" s="21"/>
      <c r="G14" s="3"/>
      <c r="H14" s="3"/>
      <c r="I14" s="3"/>
      <c r="J14" s="3"/>
    </row>
    <row r="15" spans="1:10">
      <c r="A15" s="3"/>
      <c r="B15" s="3"/>
      <c r="C15" s="3"/>
      <c r="D15" s="3"/>
      <c r="E15" s="21"/>
      <c r="F15" s="21"/>
      <c r="G15" s="3"/>
      <c r="H15" s="3"/>
      <c r="I15" s="3"/>
      <c r="J15" s="3"/>
    </row>
    <row r="16" spans="1:10">
      <c r="A16" s="3"/>
      <c r="B16" s="3"/>
      <c r="C16" s="3"/>
      <c r="D16" s="3"/>
      <c r="E16" s="21"/>
      <c r="F16" s="21"/>
      <c r="G16" s="3"/>
      <c r="H16" s="3"/>
      <c r="I16" s="3"/>
      <c r="J16" s="3"/>
    </row>
    <row r="17" spans="1:10">
      <c r="A17" s="3"/>
      <c r="B17" s="3"/>
      <c r="C17" s="3"/>
      <c r="D17" s="3"/>
      <c r="E17" s="21"/>
      <c r="F17" s="21"/>
      <c r="G17" s="3"/>
      <c r="H17" s="3"/>
      <c r="I17" s="3"/>
      <c r="J17" s="3"/>
    </row>
    <row r="18" spans="1:10">
      <c r="A18" s="3"/>
      <c r="B18" s="3"/>
      <c r="C18" s="3"/>
      <c r="D18" s="3"/>
      <c r="E18" s="21"/>
      <c r="F18" s="21"/>
      <c r="G18" s="3"/>
      <c r="H18" s="3"/>
      <c r="I18" s="3"/>
      <c r="J18" s="3"/>
    </row>
    <row r="19" spans="1:10">
      <c r="A19" s="3"/>
      <c r="B19" s="3"/>
      <c r="C19" s="3"/>
      <c r="D19" s="3"/>
      <c r="E19" s="21"/>
      <c r="F19" s="21"/>
      <c r="G19" s="3"/>
      <c r="H19" s="3"/>
      <c r="I19" s="3"/>
      <c r="J19" s="3"/>
    </row>
    <row r="20" spans="1:10">
      <c r="A20" s="3"/>
      <c r="B20" s="3"/>
      <c r="C20" s="3"/>
      <c r="D20" s="3"/>
      <c r="E20" s="21"/>
      <c r="F20" s="21"/>
      <c r="G20" s="3"/>
      <c r="H20" s="3"/>
      <c r="I20" s="3"/>
      <c r="J20" s="3"/>
    </row>
    <row r="21" spans="1:10">
      <c r="A21" s="3"/>
      <c r="B21" s="3"/>
      <c r="C21" s="3"/>
      <c r="D21" s="3"/>
      <c r="E21" s="21"/>
      <c r="F21" s="21"/>
      <c r="G21" s="3"/>
      <c r="H21" s="3"/>
      <c r="I21" s="3"/>
      <c r="J21" s="3"/>
    </row>
    <row r="22" spans="1:10">
      <c r="A22" s="3"/>
      <c r="B22" s="3"/>
      <c r="C22" s="3"/>
      <c r="D22" s="3"/>
      <c r="E22" s="21"/>
      <c r="F22" s="21"/>
      <c r="G22" s="3"/>
      <c r="H22" s="3"/>
      <c r="I22" s="3"/>
      <c r="J22" s="3"/>
    </row>
    <row r="23" spans="1:10">
      <c r="A23" s="3"/>
      <c r="B23" s="3"/>
      <c r="C23" s="3"/>
      <c r="D23" s="3"/>
      <c r="E23" s="21"/>
      <c r="F23" s="21"/>
      <c r="G23" s="3"/>
      <c r="H23" s="3"/>
      <c r="I23" s="3"/>
      <c r="J23" s="3"/>
    </row>
    <row r="24" spans="1:10">
      <c r="A24" s="3"/>
      <c r="B24" s="3"/>
      <c r="C24" s="3"/>
      <c r="D24" s="3"/>
      <c r="E24" s="21"/>
      <c r="F24" s="21"/>
      <c r="G24" s="3"/>
      <c r="H24" s="3"/>
      <c r="I24" s="3"/>
      <c r="J24" s="3"/>
    </row>
    <row r="25" spans="1:10">
      <c r="A25" s="3"/>
      <c r="B25" s="3"/>
      <c r="C25" s="3"/>
      <c r="D25" s="3"/>
      <c r="E25" s="21"/>
      <c r="F25" s="21"/>
      <c r="G25" s="3"/>
      <c r="H25" s="3"/>
      <c r="I25" s="3"/>
      <c r="J25" s="3"/>
    </row>
    <row r="26" spans="1:10">
      <c r="A26" s="3"/>
      <c r="B26" s="3"/>
      <c r="C26" s="3"/>
      <c r="D26" s="3"/>
      <c r="E26" s="21"/>
      <c r="F26" s="21"/>
      <c r="G26" s="3"/>
      <c r="H26" s="3"/>
      <c r="I26" s="3"/>
      <c r="J26" s="3"/>
    </row>
    <row r="27" spans="1:10">
      <c r="A27" s="3"/>
      <c r="B27" s="3"/>
      <c r="C27" s="3"/>
      <c r="D27" s="3"/>
      <c r="E27" s="21"/>
      <c r="F27" s="21"/>
      <c r="G27" s="3"/>
      <c r="H27" s="3"/>
      <c r="I27" s="3"/>
      <c r="J27" s="3"/>
    </row>
    <row r="28" spans="1:10">
      <c r="A28" s="3"/>
      <c r="B28" s="3"/>
      <c r="C28" s="3"/>
      <c r="D28" s="3"/>
      <c r="E28" s="21"/>
      <c r="F28" s="21"/>
      <c r="G28" s="3"/>
      <c r="H28" s="3"/>
      <c r="I28" s="3"/>
      <c r="J28" s="3"/>
    </row>
    <row r="29" spans="1:10">
      <c r="A29" s="3"/>
      <c r="B29" s="3"/>
      <c r="C29" s="3"/>
      <c r="D29" s="3"/>
      <c r="E29" s="21"/>
      <c r="F29" s="21"/>
      <c r="G29" s="3"/>
      <c r="H29" s="3"/>
      <c r="I29" s="3"/>
      <c r="J29" s="3"/>
    </row>
    <row r="30" spans="1:10">
      <c r="A30" s="3"/>
      <c r="B30" s="3"/>
      <c r="C30" s="3"/>
      <c r="D30" s="3"/>
      <c r="E30" s="21"/>
      <c r="F30" s="21"/>
      <c r="G30" s="3"/>
      <c r="H30" s="3"/>
      <c r="I30" s="3"/>
      <c r="J30" s="3"/>
    </row>
    <row r="31" spans="1:10">
      <c r="A31" s="3"/>
      <c r="B31" s="3"/>
      <c r="C31" s="3"/>
      <c r="D31" s="3"/>
      <c r="E31" s="21"/>
      <c r="F31" s="21"/>
      <c r="G31" s="3"/>
      <c r="H31" s="3"/>
      <c r="I31" s="3"/>
      <c r="J31" s="3"/>
    </row>
    <row r="32" spans="1:10">
      <c r="A32" s="3"/>
      <c r="B32" s="3"/>
      <c r="C32" s="3"/>
      <c r="D32" s="3"/>
      <c r="E32" s="21"/>
      <c r="F32" s="21"/>
      <c r="G32" s="3"/>
      <c r="H32" s="3"/>
      <c r="I32" s="3"/>
      <c r="J32" s="3"/>
    </row>
    <row r="33" spans="1:10">
      <c r="A33" s="3"/>
      <c r="B33" s="3"/>
      <c r="C33" s="3"/>
      <c r="D33" s="3"/>
      <c r="E33" s="21"/>
      <c r="F33" s="21"/>
      <c r="G33" s="3"/>
      <c r="H33" s="3"/>
      <c r="I33" s="3"/>
      <c r="J33" s="3"/>
    </row>
    <row r="34" spans="1:10">
      <c r="A34" s="3"/>
      <c r="B34" s="3"/>
      <c r="C34" s="3"/>
      <c r="D34" s="3"/>
      <c r="E34" s="21"/>
      <c r="F34" s="21"/>
      <c r="G34" s="3"/>
      <c r="H34" s="3"/>
      <c r="I34" s="3"/>
      <c r="J34" s="3"/>
    </row>
    <row r="35" spans="1:10">
      <c r="A35" s="3"/>
      <c r="B35" s="3"/>
      <c r="C35" s="3"/>
      <c r="D35" s="3"/>
      <c r="E35" s="21"/>
      <c r="F35" s="21"/>
      <c r="G35" s="3"/>
      <c r="H35" s="3"/>
      <c r="I35" s="3"/>
      <c r="J35" s="3"/>
    </row>
    <row r="36" spans="1:10">
      <c r="A36" s="3"/>
      <c r="B36" s="3"/>
      <c r="C36" s="3"/>
      <c r="D36" s="3"/>
      <c r="E36" s="21"/>
      <c r="F36" s="21"/>
      <c r="G36" s="3"/>
      <c r="H36" s="3"/>
      <c r="I36" s="3"/>
      <c r="J36" s="3"/>
    </row>
    <row r="37" spans="1:10">
      <c r="A37" s="3"/>
      <c r="B37" s="3"/>
      <c r="C37" s="3"/>
      <c r="D37" s="3"/>
      <c r="E37" s="21"/>
      <c r="F37" s="21"/>
      <c r="G37" s="3"/>
      <c r="H37" s="3"/>
      <c r="I37" s="3"/>
      <c r="J37" s="3"/>
    </row>
    <row r="38" spans="1:10">
      <c r="A38" s="3"/>
      <c r="B38" s="3"/>
      <c r="C38" s="3"/>
      <c r="D38" s="3"/>
      <c r="E38" s="21"/>
      <c r="F38" s="21"/>
      <c r="G38" s="3"/>
      <c r="H38" s="3"/>
      <c r="I38" s="3"/>
      <c r="J38" s="3"/>
    </row>
    <row r="39" spans="1:10">
      <c r="A39" s="3"/>
      <c r="B39" s="3"/>
      <c r="C39" s="3"/>
      <c r="D39" s="3"/>
      <c r="E39" s="21"/>
      <c r="F39" s="21"/>
      <c r="G39" s="3"/>
      <c r="H39" s="3"/>
      <c r="I39" s="3"/>
      <c r="J39" s="3"/>
    </row>
    <row r="40" spans="1:10">
      <c r="A40" s="3"/>
      <c r="B40" s="3"/>
      <c r="C40" s="3"/>
      <c r="D40" s="3"/>
      <c r="E40" s="21"/>
      <c r="F40" s="21"/>
      <c r="G40" s="3"/>
      <c r="H40" s="3"/>
      <c r="I40" s="3"/>
      <c r="J40" s="3"/>
    </row>
    <row r="41" spans="1:10">
      <c r="A41" s="3"/>
      <c r="B41" s="3"/>
      <c r="C41" s="3"/>
      <c r="D41" s="3"/>
      <c r="E41" s="21"/>
      <c r="F41" s="21"/>
      <c r="G41" s="3"/>
      <c r="H41" s="3"/>
      <c r="I41" s="3"/>
      <c r="J41" s="3"/>
    </row>
    <row r="42" spans="1:10">
      <c r="A42" s="3"/>
      <c r="B42" s="3"/>
      <c r="C42" s="3"/>
      <c r="D42" s="3"/>
      <c r="E42" s="21"/>
      <c r="F42" s="21"/>
      <c r="G42" s="3"/>
      <c r="H42" s="3"/>
      <c r="I42" s="3"/>
      <c r="J42" s="3"/>
    </row>
    <row r="43" spans="1:10">
      <c r="A43" s="3"/>
      <c r="B43" s="3"/>
      <c r="C43" s="3"/>
      <c r="D43" s="3"/>
      <c r="E43" s="21"/>
      <c r="F43" s="21"/>
      <c r="G43" s="3"/>
      <c r="H43" s="3"/>
      <c r="I43" s="3"/>
      <c r="J43" s="3"/>
    </row>
    <row r="44" spans="1:10">
      <c r="A44" s="3"/>
      <c r="B44" s="3"/>
      <c r="C44" s="3"/>
      <c r="D44" s="3"/>
      <c r="E44" s="21"/>
      <c r="F44" s="21"/>
      <c r="G44" s="3"/>
      <c r="H44" s="3"/>
      <c r="I44" s="3"/>
      <c r="J44" s="3"/>
    </row>
    <row r="45" spans="1:10">
      <c r="A45" s="3"/>
      <c r="B45" s="3"/>
      <c r="C45" s="3"/>
      <c r="D45" s="3"/>
      <c r="E45" s="21"/>
      <c r="F45" s="21"/>
      <c r="G45" s="3"/>
      <c r="H45" s="3"/>
      <c r="I45" s="3"/>
      <c r="J45" s="3"/>
    </row>
    <row r="46" spans="1:10">
      <c r="A46" s="3"/>
      <c r="B46" s="3"/>
      <c r="C46" s="3"/>
      <c r="D46" s="3"/>
      <c r="E46" s="21"/>
      <c r="F46" s="21"/>
      <c r="G46" s="3"/>
      <c r="H46" s="3"/>
      <c r="I46" s="3"/>
      <c r="J46" s="3"/>
    </row>
    <row r="47" spans="1:10">
      <c r="A47" s="3"/>
      <c r="B47" s="3"/>
      <c r="C47" s="3"/>
      <c r="D47" s="3"/>
      <c r="E47" s="21"/>
      <c r="F47" s="21"/>
      <c r="G47" s="3"/>
      <c r="H47" s="3"/>
      <c r="I47" s="3"/>
      <c r="J47" s="3"/>
    </row>
    <row r="48" spans="1:10">
      <c r="A48" s="3"/>
      <c r="B48" s="3"/>
      <c r="C48" s="3"/>
      <c r="D48" s="3"/>
      <c r="E48" s="21"/>
      <c r="F48" s="21"/>
      <c r="G48" s="3"/>
      <c r="H48" s="3"/>
      <c r="I48" s="3"/>
      <c r="J48" s="3"/>
    </row>
    <row r="49" spans="1:10">
      <c r="A49" s="3"/>
      <c r="B49" s="3"/>
      <c r="C49" s="3"/>
      <c r="D49" s="3"/>
      <c r="E49" s="21"/>
      <c r="F49" s="21"/>
      <c r="G49" s="3"/>
      <c r="H49" s="3"/>
      <c r="I49" s="3"/>
      <c r="J49" s="3"/>
    </row>
    <row r="50" spans="1:10">
      <c r="A50" s="3"/>
      <c r="B50" s="3"/>
      <c r="C50" s="3"/>
      <c r="D50" s="3"/>
      <c r="E50" s="21"/>
      <c r="F50" s="21"/>
      <c r="G50" s="3"/>
      <c r="H50" s="3"/>
      <c r="I50" s="3"/>
      <c r="J50" s="3"/>
    </row>
    <row r="51" spans="1:10">
      <c r="A51" s="3"/>
      <c r="B51" s="3"/>
      <c r="C51" s="3"/>
      <c r="D51" s="3"/>
      <c r="E51" s="21"/>
      <c r="F51" s="21"/>
      <c r="G51" s="3"/>
      <c r="H51" s="3"/>
      <c r="I51" s="3"/>
      <c r="J51" s="3"/>
    </row>
    <row r="52" spans="1:10">
      <c r="A52" s="3"/>
      <c r="B52" s="3"/>
      <c r="C52" s="3"/>
      <c r="D52" s="3"/>
      <c r="E52" s="21"/>
      <c r="F52" s="21"/>
      <c r="G52" s="3"/>
      <c r="H52" s="3"/>
      <c r="I52" s="3"/>
      <c r="J52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"/>
  <sheetViews>
    <sheetView tabSelected="1" topLeftCell="A91" workbookViewId="0">
      <selection activeCell="G108" sqref="G108"/>
    </sheetView>
  </sheetViews>
  <sheetFormatPr defaultColWidth="8.88888888888889" defaultRowHeight="14.4"/>
  <cols>
    <col min="1" max="1" width="8.88888888888889" style="2"/>
    <col min="2" max="2" width="10.7777777777778" style="2" customWidth="1"/>
    <col min="3" max="3" width="10.7777777777778" style="3" customWidth="1"/>
    <col min="4" max="4" width="12.1111111111111" style="2" customWidth="1"/>
    <col min="5" max="5" width="59.8888888888889" style="1" customWidth="1"/>
    <col min="6" max="6" width="61.6666666666667" style="4" customWidth="1"/>
    <col min="7" max="7" width="16" style="5" customWidth="1"/>
    <col min="8" max="8" width="8.88888888888889" style="2"/>
    <col min="9" max="9" width="11.8888888888889" style="2" customWidth="1"/>
    <col min="10" max="10" width="44.4444444444444" style="5" customWidth="1"/>
    <col min="11" max="16384" width="8.88888888888889" style="5"/>
  </cols>
  <sheetData>
    <row r="1" ht="20" customHeight="1" spans="1:10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="1" customFormat="1" spans="1:10">
      <c r="A2" s="8">
        <f t="shared" ref="A2:A40" si="0">ROW()-1</f>
        <v>1</v>
      </c>
      <c r="B2" s="8" t="s">
        <v>35</v>
      </c>
      <c r="C2" s="9" t="s">
        <v>36</v>
      </c>
      <c r="D2" s="10">
        <v>44753</v>
      </c>
      <c r="E2" s="11" t="s">
        <v>37</v>
      </c>
      <c r="F2" s="12" t="s">
        <v>38</v>
      </c>
      <c r="G2" s="12" t="s">
        <v>39</v>
      </c>
      <c r="H2" s="8" t="s">
        <v>15</v>
      </c>
      <c r="I2" s="10">
        <v>44754</v>
      </c>
      <c r="J2" s="13"/>
    </row>
    <row r="3" spans="1:10">
      <c r="A3" s="8">
        <f t="shared" si="0"/>
        <v>2</v>
      </c>
      <c r="B3" s="8" t="s">
        <v>35</v>
      </c>
      <c r="C3" s="9" t="s">
        <v>36</v>
      </c>
      <c r="D3" s="10">
        <v>44753</v>
      </c>
      <c r="E3" s="11" t="s">
        <v>40</v>
      </c>
      <c r="F3" s="11" t="s">
        <v>41</v>
      </c>
      <c r="G3" s="12" t="s">
        <v>39</v>
      </c>
      <c r="H3" s="8" t="s">
        <v>15</v>
      </c>
      <c r="I3" s="10">
        <v>44754</v>
      </c>
      <c r="J3" s="13"/>
    </row>
    <row r="4" ht="20" customHeight="1" spans="1:10">
      <c r="A4" s="8">
        <f t="shared" si="0"/>
        <v>3</v>
      </c>
      <c r="B4" s="8" t="s">
        <v>35</v>
      </c>
      <c r="C4" s="9" t="s">
        <v>36</v>
      </c>
      <c r="D4" s="10">
        <v>44753</v>
      </c>
      <c r="E4" s="11" t="s">
        <v>42</v>
      </c>
      <c r="F4" s="11" t="s">
        <v>43</v>
      </c>
      <c r="G4" s="12" t="s">
        <v>39</v>
      </c>
      <c r="H4" s="8" t="s">
        <v>15</v>
      </c>
      <c r="I4" s="10">
        <v>44755</v>
      </c>
      <c r="J4" s="13"/>
    </row>
    <row r="5" spans="1:10">
      <c r="A5" s="8">
        <f t="shared" si="0"/>
        <v>4</v>
      </c>
      <c r="B5" s="8" t="s">
        <v>35</v>
      </c>
      <c r="C5" s="9" t="s">
        <v>44</v>
      </c>
      <c r="D5" s="10">
        <v>44753</v>
      </c>
      <c r="E5" s="11" t="s">
        <v>45</v>
      </c>
      <c r="F5" s="14" t="s">
        <v>46</v>
      </c>
      <c r="G5" s="12" t="s">
        <v>47</v>
      </c>
      <c r="H5" s="8" t="s">
        <v>15</v>
      </c>
      <c r="I5" s="10">
        <v>44754</v>
      </c>
      <c r="J5" s="15"/>
    </row>
    <row r="6" spans="1:10">
      <c r="A6" s="8">
        <f t="shared" si="0"/>
        <v>5</v>
      </c>
      <c r="B6" s="8" t="s">
        <v>35</v>
      </c>
      <c r="C6" s="9" t="s">
        <v>44</v>
      </c>
      <c r="D6" s="10">
        <v>44753</v>
      </c>
      <c r="E6" s="11" t="s">
        <v>48</v>
      </c>
      <c r="F6" s="11" t="s">
        <v>49</v>
      </c>
      <c r="G6" s="12" t="s">
        <v>39</v>
      </c>
      <c r="H6" s="8" t="s">
        <v>15</v>
      </c>
      <c r="I6" s="10">
        <v>44756</v>
      </c>
      <c r="J6" s="16"/>
    </row>
    <row r="7" spans="1:10">
      <c r="A7" s="8">
        <f t="shared" si="0"/>
        <v>6</v>
      </c>
      <c r="B7" s="8" t="s">
        <v>35</v>
      </c>
      <c r="C7" s="9" t="s">
        <v>44</v>
      </c>
      <c r="D7" s="10">
        <v>44753</v>
      </c>
      <c r="E7" s="11" t="s">
        <v>50</v>
      </c>
      <c r="F7" s="11" t="s">
        <v>51</v>
      </c>
      <c r="G7" s="12" t="s">
        <v>39</v>
      </c>
      <c r="H7" s="8" t="s">
        <v>15</v>
      </c>
      <c r="I7" s="10">
        <v>44755</v>
      </c>
      <c r="J7" s="16"/>
    </row>
    <row r="8" ht="28.8" spans="1:10">
      <c r="A8" s="8">
        <f t="shared" si="0"/>
        <v>7</v>
      </c>
      <c r="B8" s="8" t="s">
        <v>35</v>
      </c>
      <c r="C8" s="9" t="s">
        <v>44</v>
      </c>
      <c r="D8" s="10">
        <v>44753</v>
      </c>
      <c r="E8" s="11" t="s">
        <v>52</v>
      </c>
      <c r="F8" s="11" t="s">
        <v>53</v>
      </c>
      <c r="G8" s="12" t="s">
        <v>39</v>
      </c>
      <c r="H8" s="8" t="s">
        <v>15</v>
      </c>
      <c r="I8" s="10">
        <v>44756</v>
      </c>
      <c r="J8" s="16"/>
    </row>
    <row r="9" spans="1:10">
      <c r="A9" s="8">
        <f t="shared" si="0"/>
        <v>8</v>
      </c>
      <c r="B9" s="8" t="s">
        <v>35</v>
      </c>
      <c r="C9" s="9" t="s">
        <v>44</v>
      </c>
      <c r="D9" s="10">
        <v>44753</v>
      </c>
      <c r="E9" s="11" t="s">
        <v>54</v>
      </c>
      <c r="F9" s="11" t="s">
        <v>55</v>
      </c>
      <c r="G9" s="12" t="s">
        <v>39</v>
      </c>
      <c r="H9" s="8" t="s">
        <v>15</v>
      </c>
      <c r="I9" s="10">
        <v>44754</v>
      </c>
      <c r="J9" s="16"/>
    </row>
    <row r="10" spans="1:10">
      <c r="A10" s="8">
        <f t="shared" si="0"/>
        <v>9</v>
      </c>
      <c r="B10" s="8" t="s">
        <v>35</v>
      </c>
      <c r="C10" s="9" t="s">
        <v>44</v>
      </c>
      <c r="D10" s="10">
        <v>44753</v>
      </c>
      <c r="E10" s="11" t="s">
        <v>56</v>
      </c>
      <c r="F10" s="11" t="s">
        <v>55</v>
      </c>
      <c r="G10" s="12" t="s">
        <v>39</v>
      </c>
      <c r="H10" s="8" t="s">
        <v>15</v>
      </c>
      <c r="I10" s="10">
        <v>44754</v>
      </c>
      <c r="J10" s="16"/>
    </row>
    <row r="11" spans="1:10">
      <c r="A11" s="8">
        <f t="shared" si="0"/>
        <v>10</v>
      </c>
      <c r="B11" s="8" t="s">
        <v>35</v>
      </c>
      <c r="C11" s="9" t="s">
        <v>44</v>
      </c>
      <c r="D11" s="10">
        <v>44753</v>
      </c>
      <c r="E11" s="11" t="s">
        <v>57</v>
      </c>
      <c r="F11" s="11" t="s">
        <v>58</v>
      </c>
      <c r="G11" s="12" t="s">
        <v>39</v>
      </c>
      <c r="H11" s="8" t="s">
        <v>15</v>
      </c>
      <c r="I11" s="10">
        <v>44756</v>
      </c>
      <c r="J11" s="16"/>
    </row>
    <row r="12" spans="1:10">
      <c r="A12" s="8">
        <f t="shared" si="0"/>
        <v>11</v>
      </c>
      <c r="B12" s="8" t="s">
        <v>35</v>
      </c>
      <c r="C12" s="9" t="s">
        <v>44</v>
      </c>
      <c r="D12" s="10">
        <v>44753</v>
      </c>
      <c r="E12" s="11" t="s">
        <v>59</v>
      </c>
      <c r="F12" s="11" t="s">
        <v>55</v>
      </c>
      <c r="G12" s="12" t="s">
        <v>39</v>
      </c>
      <c r="H12" s="8" t="s">
        <v>15</v>
      </c>
      <c r="I12" s="10">
        <v>44753</v>
      </c>
      <c r="J12" s="16"/>
    </row>
    <row r="13" ht="28.8" spans="1:10">
      <c r="A13" s="8">
        <f t="shared" si="0"/>
        <v>12</v>
      </c>
      <c r="B13" s="8" t="s">
        <v>35</v>
      </c>
      <c r="C13" s="9" t="s">
        <v>60</v>
      </c>
      <c r="D13" s="10">
        <v>44753</v>
      </c>
      <c r="E13" s="11" t="s">
        <v>61</v>
      </c>
      <c r="F13" s="11" t="s">
        <v>62</v>
      </c>
      <c r="G13" s="12" t="s">
        <v>39</v>
      </c>
      <c r="H13" s="8" t="s">
        <v>15</v>
      </c>
      <c r="I13" s="10">
        <v>44756</v>
      </c>
      <c r="J13" s="16"/>
    </row>
    <row r="14" ht="28.8" spans="1:10">
      <c r="A14" s="8">
        <f t="shared" si="0"/>
        <v>13</v>
      </c>
      <c r="B14" s="8" t="s">
        <v>35</v>
      </c>
      <c r="C14" s="9" t="s">
        <v>44</v>
      </c>
      <c r="D14" s="10">
        <v>44757</v>
      </c>
      <c r="E14" s="11" t="s">
        <v>63</v>
      </c>
      <c r="F14" s="11" t="s">
        <v>64</v>
      </c>
      <c r="G14" s="12" t="s">
        <v>14</v>
      </c>
      <c r="H14" s="8" t="s">
        <v>15</v>
      </c>
      <c r="I14" s="10">
        <v>44757</v>
      </c>
      <c r="J14" s="16"/>
    </row>
    <row r="15" spans="1:10">
      <c r="A15" s="8">
        <f t="shared" si="0"/>
        <v>14</v>
      </c>
      <c r="B15" s="8" t="s">
        <v>35</v>
      </c>
      <c r="C15" s="9" t="s">
        <v>44</v>
      </c>
      <c r="D15" s="10">
        <v>44760</v>
      </c>
      <c r="E15" s="11" t="s">
        <v>65</v>
      </c>
      <c r="F15" s="11" t="s">
        <v>66</v>
      </c>
      <c r="G15" s="12" t="s">
        <v>14</v>
      </c>
      <c r="H15" s="8" t="s">
        <v>15</v>
      </c>
      <c r="I15" s="10">
        <v>44764</v>
      </c>
      <c r="J15" s="16"/>
    </row>
    <row r="16" spans="1:10">
      <c r="A16" s="8">
        <f t="shared" si="0"/>
        <v>15</v>
      </c>
      <c r="B16" s="8" t="s">
        <v>35</v>
      </c>
      <c r="C16" s="9" t="s">
        <v>44</v>
      </c>
      <c r="D16" s="10">
        <v>44760</v>
      </c>
      <c r="E16" s="11" t="s">
        <v>67</v>
      </c>
      <c r="F16" s="11" t="s">
        <v>68</v>
      </c>
      <c r="G16" s="12" t="s">
        <v>14</v>
      </c>
      <c r="H16" s="8" t="s">
        <v>15</v>
      </c>
      <c r="I16" s="10">
        <v>44766</v>
      </c>
      <c r="J16" s="16"/>
    </row>
    <row r="17" spans="1:10">
      <c r="A17" s="8">
        <f t="shared" si="0"/>
        <v>16</v>
      </c>
      <c r="B17" s="12" t="s">
        <v>69</v>
      </c>
      <c r="C17" s="9" t="s">
        <v>70</v>
      </c>
      <c r="D17" s="10">
        <v>44781</v>
      </c>
      <c r="E17" s="11" t="s">
        <v>71</v>
      </c>
      <c r="F17" s="11" t="s">
        <v>72</v>
      </c>
      <c r="G17" s="12" t="s">
        <v>69</v>
      </c>
      <c r="H17" s="8" t="s">
        <v>15</v>
      </c>
      <c r="I17" s="10">
        <v>44782</v>
      </c>
      <c r="J17" s="16"/>
    </row>
    <row r="18" spans="1:10">
      <c r="A18" s="8">
        <f t="shared" si="0"/>
        <v>17</v>
      </c>
      <c r="B18" s="8" t="s">
        <v>73</v>
      </c>
      <c r="C18" s="9" t="s">
        <v>70</v>
      </c>
      <c r="D18" s="10">
        <v>44781</v>
      </c>
      <c r="E18" s="11" t="s">
        <v>74</v>
      </c>
      <c r="F18" s="11" t="s">
        <v>75</v>
      </c>
      <c r="G18" s="12" t="s">
        <v>73</v>
      </c>
      <c r="H18" s="8" t="s">
        <v>15</v>
      </c>
      <c r="I18" s="10">
        <v>44782</v>
      </c>
      <c r="J18" s="16"/>
    </row>
    <row r="19" spans="1:10">
      <c r="A19" s="8">
        <f t="shared" si="0"/>
        <v>18</v>
      </c>
      <c r="B19" s="8" t="s">
        <v>73</v>
      </c>
      <c r="C19" s="9" t="s">
        <v>70</v>
      </c>
      <c r="D19" s="10">
        <v>44781</v>
      </c>
      <c r="E19" s="11" t="s">
        <v>76</v>
      </c>
      <c r="F19" s="11" t="s">
        <v>77</v>
      </c>
      <c r="G19" s="12" t="s">
        <v>73</v>
      </c>
      <c r="H19" s="8" t="s">
        <v>15</v>
      </c>
      <c r="I19" s="10">
        <v>44782</v>
      </c>
      <c r="J19" s="16"/>
    </row>
    <row r="20" spans="1:10">
      <c r="A20" s="8">
        <f t="shared" si="0"/>
        <v>19</v>
      </c>
      <c r="B20" s="8" t="s">
        <v>14</v>
      </c>
      <c r="C20" s="9" t="s">
        <v>44</v>
      </c>
      <c r="D20" s="10">
        <v>44781</v>
      </c>
      <c r="E20" s="11" t="s">
        <v>78</v>
      </c>
      <c r="F20" s="11" t="s">
        <v>79</v>
      </c>
      <c r="G20" s="12" t="s">
        <v>80</v>
      </c>
      <c r="H20" s="8" t="s">
        <v>15</v>
      </c>
      <c r="I20" s="10">
        <v>44782</v>
      </c>
      <c r="J20" s="16"/>
    </row>
    <row r="21" ht="28.8" spans="1:10">
      <c r="A21" s="8">
        <f t="shared" si="0"/>
        <v>20</v>
      </c>
      <c r="B21" s="8" t="s">
        <v>35</v>
      </c>
      <c r="C21" s="9" t="s">
        <v>44</v>
      </c>
      <c r="D21" s="10">
        <v>44781</v>
      </c>
      <c r="E21" s="11" t="s">
        <v>81</v>
      </c>
      <c r="F21" s="11" t="s">
        <v>82</v>
      </c>
      <c r="G21" s="12" t="s">
        <v>80</v>
      </c>
      <c r="H21" s="8" t="s">
        <v>15</v>
      </c>
      <c r="I21" s="10">
        <v>44787</v>
      </c>
      <c r="J21" s="16"/>
    </row>
    <row r="22" spans="1:10">
      <c r="A22" s="8">
        <f t="shared" si="0"/>
        <v>21</v>
      </c>
      <c r="B22" s="8" t="s">
        <v>35</v>
      </c>
      <c r="C22" s="9" t="s">
        <v>44</v>
      </c>
      <c r="D22" s="10">
        <v>44781</v>
      </c>
      <c r="E22" s="11" t="s">
        <v>83</v>
      </c>
      <c r="F22" s="11" t="s">
        <v>84</v>
      </c>
      <c r="G22" s="12" t="s">
        <v>80</v>
      </c>
      <c r="H22" s="8" t="s">
        <v>15</v>
      </c>
      <c r="I22" s="10">
        <v>44787</v>
      </c>
      <c r="J22" s="16"/>
    </row>
    <row r="23" ht="28.8" spans="1:10">
      <c r="A23" s="8">
        <f t="shared" si="0"/>
        <v>22</v>
      </c>
      <c r="B23" s="8" t="s">
        <v>85</v>
      </c>
      <c r="C23" s="9" t="s">
        <v>44</v>
      </c>
      <c r="D23" s="10">
        <v>44797</v>
      </c>
      <c r="E23" s="11" t="s">
        <v>86</v>
      </c>
      <c r="F23" s="11" t="s">
        <v>87</v>
      </c>
      <c r="G23" s="12" t="s">
        <v>88</v>
      </c>
      <c r="H23" s="8" t="s">
        <v>15</v>
      </c>
      <c r="I23" s="10">
        <v>44801</v>
      </c>
      <c r="J23" s="16"/>
    </row>
    <row r="24" spans="1:10">
      <c r="A24" s="8">
        <f t="shared" si="0"/>
        <v>23</v>
      </c>
      <c r="B24" s="8" t="s">
        <v>85</v>
      </c>
      <c r="C24" s="9" t="s">
        <v>44</v>
      </c>
      <c r="D24" s="10">
        <v>44797</v>
      </c>
      <c r="E24" s="11" t="s">
        <v>89</v>
      </c>
      <c r="F24" s="11" t="s">
        <v>90</v>
      </c>
      <c r="G24" s="12" t="s">
        <v>88</v>
      </c>
      <c r="H24" s="8" t="s">
        <v>15</v>
      </c>
      <c r="I24" s="10">
        <v>44801</v>
      </c>
      <c r="J24" s="16"/>
    </row>
    <row r="25" spans="1:10">
      <c r="A25" s="8">
        <f t="shared" si="0"/>
        <v>24</v>
      </c>
      <c r="B25" s="8" t="s">
        <v>91</v>
      </c>
      <c r="C25" s="9" t="s">
        <v>70</v>
      </c>
      <c r="D25" s="10">
        <v>44781</v>
      </c>
      <c r="E25" s="11" t="s">
        <v>92</v>
      </c>
      <c r="F25" s="11" t="s">
        <v>93</v>
      </c>
      <c r="G25" s="12" t="s">
        <v>91</v>
      </c>
      <c r="H25" s="8" t="s">
        <v>15</v>
      </c>
      <c r="I25" s="10">
        <v>44787</v>
      </c>
      <c r="J25" s="16"/>
    </row>
    <row r="26" spans="1:10">
      <c r="A26" s="8">
        <f t="shared" si="0"/>
        <v>25</v>
      </c>
      <c r="B26" s="8" t="s">
        <v>91</v>
      </c>
      <c r="C26" s="9" t="s">
        <v>70</v>
      </c>
      <c r="D26" s="10">
        <v>44781</v>
      </c>
      <c r="E26" s="11" t="s">
        <v>94</v>
      </c>
      <c r="F26" s="11" t="s">
        <v>95</v>
      </c>
      <c r="G26" s="12" t="s">
        <v>91</v>
      </c>
      <c r="H26" s="8" t="s">
        <v>15</v>
      </c>
      <c r="I26" s="10">
        <v>44787</v>
      </c>
      <c r="J26" s="16"/>
    </row>
    <row r="27" ht="28.8" spans="1:10">
      <c r="A27" s="8">
        <f t="shared" si="0"/>
        <v>26</v>
      </c>
      <c r="B27" s="8" t="s">
        <v>73</v>
      </c>
      <c r="C27" s="9" t="s">
        <v>70</v>
      </c>
      <c r="D27" s="10">
        <v>44781</v>
      </c>
      <c r="E27" s="11" t="s">
        <v>96</v>
      </c>
      <c r="F27" s="11" t="s">
        <v>97</v>
      </c>
      <c r="G27" s="12" t="s">
        <v>73</v>
      </c>
      <c r="H27" s="8" t="s">
        <v>15</v>
      </c>
      <c r="I27" s="10">
        <v>44815</v>
      </c>
      <c r="J27" s="16"/>
    </row>
    <row r="28" ht="28.8" spans="1:10">
      <c r="A28" s="8">
        <f t="shared" si="0"/>
        <v>27</v>
      </c>
      <c r="B28" s="8" t="s">
        <v>91</v>
      </c>
      <c r="C28" s="9" t="s">
        <v>70</v>
      </c>
      <c r="D28" s="10">
        <v>44781</v>
      </c>
      <c r="E28" s="11" t="s">
        <v>98</v>
      </c>
      <c r="F28" s="11" t="s">
        <v>99</v>
      </c>
      <c r="G28" s="12" t="s">
        <v>91</v>
      </c>
      <c r="H28" s="8" t="s">
        <v>15</v>
      </c>
      <c r="I28" s="10">
        <v>44816</v>
      </c>
      <c r="J28" s="16"/>
    </row>
    <row r="29" ht="28.8" spans="1:10">
      <c r="A29" s="8">
        <f t="shared" si="0"/>
        <v>28</v>
      </c>
      <c r="B29" s="8" t="s">
        <v>14</v>
      </c>
      <c r="C29" s="9" t="s">
        <v>44</v>
      </c>
      <c r="D29" s="10">
        <v>44789</v>
      </c>
      <c r="E29" s="11" t="s">
        <v>100</v>
      </c>
      <c r="F29" s="11" t="s">
        <v>101</v>
      </c>
      <c r="G29" s="12" t="s">
        <v>91</v>
      </c>
      <c r="H29" s="8" t="s">
        <v>15</v>
      </c>
      <c r="I29" s="10">
        <v>44790</v>
      </c>
      <c r="J29" s="16"/>
    </row>
    <row r="30" spans="1:10">
      <c r="A30" s="8">
        <f t="shared" si="0"/>
        <v>29</v>
      </c>
      <c r="B30" s="8" t="s">
        <v>35</v>
      </c>
      <c r="C30" s="9" t="s">
        <v>44</v>
      </c>
      <c r="D30" s="10">
        <v>44789</v>
      </c>
      <c r="E30" s="11" t="s">
        <v>102</v>
      </c>
      <c r="F30" s="11" t="s">
        <v>103</v>
      </c>
      <c r="G30" s="12" t="s">
        <v>88</v>
      </c>
      <c r="H30" s="8" t="s">
        <v>15</v>
      </c>
      <c r="I30" s="10">
        <v>44790</v>
      </c>
      <c r="J30" s="16"/>
    </row>
    <row r="31" spans="1:10">
      <c r="A31" s="8">
        <f t="shared" si="0"/>
        <v>30</v>
      </c>
      <c r="B31" s="8" t="s">
        <v>35</v>
      </c>
      <c r="C31" s="9" t="s">
        <v>44</v>
      </c>
      <c r="D31" s="10">
        <v>44789</v>
      </c>
      <c r="E31" s="11" t="s">
        <v>104</v>
      </c>
      <c r="F31" s="11" t="s">
        <v>105</v>
      </c>
      <c r="G31" s="12" t="s">
        <v>88</v>
      </c>
      <c r="H31" s="8" t="s">
        <v>15</v>
      </c>
      <c r="I31" s="10">
        <v>44790</v>
      </c>
      <c r="J31" s="16"/>
    </row>
    <row r="32" spans="1:10">
      <c r="A32" s="8">
        <f t="shared" si="0"/>
        <v>31</v>
      </c>
      <c r="B32" s="8" t="s">
        <v>35</v>
      </c>
      <c r="C32" s="9" t="s">
        <v>44</v>
      </c>
      <c r="D32" s="10">
        <v>44789</v>
      </c>
      <c r="E32" s="11" t="s">
        <v>106</v>
      </c>
      <c r="F32" s="11" t="s">
        <v>107</v>
      </c>
      <c r="G32" s="12" t="s">
        <v>88</v>
      </c>
      <c r="H32" s="8" t="s">
        <v>15</v>
      </c>
      <c r="I32" s="10">
        <v>44790</v>
      </c>
      <c r="J32" s="16"/>
    </row>
    <row r="33" spans="1:10">
      <c r="A33" s="8">
        <f t="shared" si="0"/>
        <v>32</v>
      </c>
      <c r="B33" s="8" t="s">
        <v>108</v>
      </c>
      <c r="C33" s="9" t="s">
        <v>70</v>
      </c>
      <c r="D33" s="10">
        <v>44789</v>
      </c>
      <c r="E33" s="11" t="s">
        <v>109</v>
      </c>
      <c r="F33" s="11" t="s">
        <v>110</v>
      </c>
      <c r="G33" s="12" t="s">
        <v>18</v>
      </c>
      <c r="H33" s="8" t="s">
        <v>15</v>
      </c>
      <c r="I33" s="10">
        <v>44790</v>
      </c>
      <c r="J33" s="16"/>
    </row>
    <row r="34" ht="28.8" spans="1:10">
      <c r="A34" s="8">
        <f t="shared" si="0"/>
        <v>33</v>
      </c>
      <c r="B34" s="8" t="s">
        <v>108</v>
      </c>
      <c r="C34" s="9" t="s">
        <v>44</v>
      </c>
      <c r="D34" s="10">
        <v>44827</v>
      </c>
      <c r="E34" s="11" t="s">
        <v>111</v>
      </c>
      <c r="F34" s="11" t="s">
        <v>112</v>
      </c>
      <c r="G34" s="12" t="s">
        <v>108</v>
      </c>
      <c r="H34" s="8" t="s">
        <v>15</v>
      </c>
      <c r="I34" s="10">
        <v>44829</v>
      </c>
      <c r="J34" s="16"/>
    </row>
    <row r="35" ht="43.2" spans="1:10">
      <c r="A35" s="8">
        <f t="shared" si="0"/>
        <v>34</v>
      </c>
      <c r="B35" s="8" t="s">
        <v>108</v>
      </c>
      <c r="C35" s="9" t="s">
        <v>44</v>
      </c>
      <c r="D35" s="10">
        <v>44827</v>
      </c>
      <c r="E35" s="11" t="s">
        <v>113</v>
      </c>
      <c r="F35" s="11" t="s">
        <v>114</v>
      </c>
      <c r="G35" s="12" t="s">
        <v>108</v>
      </c>
      <c r="H35" s="8" t="s">
        <v>15</v>
      </c>
      <c r="I35" s="10">
        <v>44829</v>
      </c>
      <c r="J35" s="16"/>
    </row>
    <row r="36" ht="28.8" spans="1:10">
      <c r="A36" s="8">
        <f t="shared" si="0"/>
        <v>35</v>
      </c>
      <c r="B36" s="8" t="s">
        <v>108</v>
      </c>
      <c r="C36" s="9" t="s">
        <v>44</v>
      </c>
      <c r="D36" s="10">
        <v>44827</v>
      </c>
      <c r="E36" s="11" t="s">
        <v>115</v>
      </c>
      <c r="F36" s="11" t="s">
        <v>116</v>
      </c>
      <c r="G36" s="12" t="s">
        <v>108</v>
      </c>
      <c r="H36" s="8" t="s">
        <v>15</v>
      </c>
      <c r="I36" s="10">
        <v>44829</v>
      </c>
      <c r="J36" s="16"/>
    </row>
    <row r="37" ht="43.2" spans="1:10">
      <c r="A37" s="8">
        <f t="shared" si="0"/>
        <v>36</v>
      </c>
      <c r="B37" s="8" t="s">
        <v>73</v>
      </c>
      <c r="C37" s="9" t="s">
        <v>117</v>
      </c>
      <c r="D37" s="10">
        <v>44882</v>
      </c>
      <c r="E37" s="11" t="s">
        <v>118</v>
      </c>
      <c r="F37" s="11" t="s">
        <v>119</v>
      </c>
      <c r="G37" s="12" t="s">
        <v>73</v>
      </c>
      <c r="H37" s="8" t="s">
        <v>15</v>
      </c>
      <c r="I37" s="10">
        <v>44885</v>
      </c>
      <c r="J37" s="16"/>
    </row>
    <row r="38" ht="28.8" spans="1:10">
      <c r="A38" s="8">
        <f t="shared" si="0"/>
        <v>37</v>
      </c>
      <c r="B38" s="8" t="s">
        <v>73</v>
      </c>
      <c r="C38" s="9" t="s">
        <v>117</v>
      </c>
      <c r="D38" s="10">
        <v>44882</v>
      </c>
      <c r="E38" s="11" t="s">
        <v>120</v>
      </c>
      <c r="F38" s="11" t="s">
        <v>119</v>
      </c>
      <c r="G38" s="12" t="s">
        <v>73</v>
      </c>
      <c r="H38" s="8" t="s">
        <v>15</v>
      </c>
      <c r="I38" s="10">
        <v>44885</v>
      </c>
      <c r="J38" s="16"/>
    </row>
    <row r="39" ht="43.2" spans="1:10">
      <c r="A39" s="8">
        <f t="shared" si="0"/>
        <v>38</v>
      </c>
      <c r="B39" s="8" t="s">
        <v>73</v>
      </c>
      <c r="C39" s="9" t="s">
        <v>117</v>
      </c>
      <c r="D39" s="10">
        <v>44882</v>
      </c>
      <c r="E39" s="11" t="s">
        <v>121</v>
      </c>
      <c r="F39" s="11" t="s">
        <v>119</v>
      </c>
      <c r="G39" s="12" t="s">
        <v>73</v>
      </c>
      <c r="H39" s="8" t="s">
        <v>15</v>
      </c>
      <c r="I39" s="10">
        <v>44885</v>
      </c>
      <c r="J39" s="16"/>
    </row>
    <row r="40" ht="28.8" spans="1:10">
      <c r="A40" s="8">
        <f t="shared" si="0"/>
        <v>39</v>
      </c>
      <c r="B40" s="8" t="s">
        <v>73</v>
      </c>
      <c r="C40" s="9" t="s">
        <v>117</v>
      </c>
      <c r="D40" s="10">
        <v>44882</v>
      </c>
      <c r="E40" s="11" t="s">
        <v>122</v>
      </c>
      <c r="F40" s="11" t="s">
        <v>119</v>
      </c>
      <c r="G40" s="12" t="s">
        <v>73</v>
      </c>
      <c r="H40" s="8" t="s">
        <v>15</v>
      </c>
      <c r="I40" s="10">
        <v>44885</v>
      </c>
      <c r="J40" s="16"/>
    </row>
    <row r="41" ht="28.8" spans="1:10">
      <c r="A41" s="8">
        <f t="shared" ref="A41:A46" si="1">ROW()-1</f>
        <v>40</v>
      </c>
      <c r="B41" s="8" t="s">
        <v>14</v>
      </c>
      <c r="C41" s="9" t="s">
        <v>117</v>
      </c>
      <c r="D41" s="10">
        <v>44882</v>
      </c>
      <c r="E41" s="11" t="s">
        <v>123</v>
      </c>
      <c r="F41" s="11" t="s">
        <v>119</v>
      </c>
      <c r="G41" s="12" t="s">
        <v>14</v>
      </c>
      <c r="H41" s="8" t="s">
        <v>15</v>
      </c>
      <c r="I41" s="10">
        <v>44885</v>
      </c>
      <c r="J41" s="16"/>
    </row>
    <row r="42" ht="28.8" spans="1:10">
      <c r="A42" s="8">
        <f t="shared" si="1"/>
        <v>41</v>
      </c>
      <c r="B42" s="8" t="s">
        <v>73</v>
      </c>
      <c r="C42" s="9" t="s">
        <v>117</v>
      </c>
      <c r="D42" s="10">
        <v>44882</v>
      </c>
      <c r="E42" s="11" t="s">
        <v>124</v>
      </c>
      <c r="F42" s="11" t="s">
        <v>119</v>
      </c>
      <c r="G42" s="12" t="s">
        <v>73</v>
      </c>
      <c r="H42" s="8" t="s">
        <v>15</v>
      </c>
      <c r="I42" s="10">
        <v>44885</v>
      </c>
      <c r="J42" s="16"/>
    </row>
    <row r="43" ht="28.8" spans="1:10">
      <c r="A43" s="8">
        <f t="shared" si="1"/>
        <v>42</v>
      </c>
      <c r="B43" s="8" t="s">
        <v>108</v>
      </c>
      <c r="C43" s="9" t="s">
        <v>117</v>
      </c>
      <c r="D43" s="10">
        <v>44901</v>
      </c>
      <c r="E43" s="11" t="s">
        <v>125</v>
      </c>
      <c r="F43" s="11" t="s">
        <v>119</v>
      </c>
      <c r="G43" s="12" t="s">
        <v>108</v>
      </c>
      <c r="H43" s="8" t="s">
        <v>15</v>
      </c>
      <c r="I43" s="10">
        <v>44901</v>
      </c>
      <c r="J43" s="16"/>
    </row>
    <row r="44" ht="28.8" spans="1:10">
      <c r="A44" s="8">
        <f t="shared" si="1"/>
        <v>43</v>
      </c>
      <c r="B44" s="8" t="s">
        <v>108</v>
      </c>
      <c r="C44" s="9" t="s">
        <v>117</v>
      </c>
      <c r="D44" s="10">
        <v>44914</v>
      </c>
      <c r="E44" s="11" t="s">
        <v>126</v>
      </c>
      <c r="F44" s="11" t="s">
        <v>119</v>
      </c>
      <c r="G44" s="12" t="s">
        <v>108</v>
      </c>
      <c r="H44" s="8" t="s">
        <v>15</v>
      </c>
      <c r="I44" s="10">
        <v>44914</v>
      </c>
      <c r="J44" s="16"/>
    </row>
    <row r="45" ht="28.8" spans="1:10">
      <c r="A45" s="8">
        <f t="shared" si="1"/>
        <v>44</v>
      </c>
      <c r="B45" s="8" t="s">
        <v>108</v>
      </c>
      <c r="C45" s="9" t="s">
        <v>117</v>
      </c>
      <c r="D45" s="10">
        <v>44914</v>
      </c>
      <c r="E45" s="11" t="s">
        <v>127</v>
      </c>
      <c r="F45" s="11" t="s">
        <v>119</v>
      </c>
      <c r="G45" s="12" t="s">
        <v>108</v>
      </c>
      <c r="H45" s="8" t="s">
        <v>15</v>
      </c>
      <c r="I45" s="10">
        <v>44914</v>
      </c>
      <c r="J45" s="16"/>
    </row>
    <row r="46" ht="28.8" spans="1:10">
      <c r="A46" s="8">
        <f t="shared" si="1"/>
        <v>45</v>
      </c>
      <c r="B46" s="8" t="s">
        <v>14</v>
      </c>
      <c r="C46" s="9" t="s">
        <v>44</v>
      </c>
      <c r="D46" s="10">
        <v>44929</v>
      </c>
      <c r="E46" s="11" t="s">
        <v>128</v>
      </c>
      <c r="F46" s="11" t="s">
        <v>129</v>
      </c>
      <c r="G46" s="12" t="s">
        <v>14</v>
      </c>
      <c r="H46" s="8" t="s">
        <v>15</v>
      </c>
      <c r="I46" s="10">
        <v>44929</v>
      </c>
      <c r="J46" s="16"/>
    </row>
    <row r="47" spans="1:10">
      <c r="A47" s="8">
        <f t="shared" ref="A47:A52" si="2">ROW()-1</f>
        <v>46</v>
      </c>
      <c r="B47" s="8" t="s">
        <v>14</v>
      </c>
      <c r="C47" s="9" t="s">
        <v>44</v>
      </c>
      <c r="D47" s="10">
        <v>44957</v>
      </c>
      <c r="E47" s="11" t="s">
        <v>130</v>
      </c>
      <c r="F47" s="11" t="s">
        <v>131</v>
      </c>
      <c r="G47" s="12" t="s">
        <v>14</v>
      </c>
      <c r="H47" s="8" t="s">
        <v>15</v>
      </c>
      <c r="I47" s="10">
        <v>44957</v>
      </c>
      <c r="J47" s="16"/>
    </row>
    <row r="48" spans="1:10">
      <c r="A48" s="8">
        <f t="shared" si="2"/>
        <v>47</v>
      </c>
      <c r="B48" s="8" t="s">
        <v>14</v>
      </c>
      <c r="C48" s="9" t="s">
        <v>44</v>
      </c>
      <c r="D48" s="10">
        <v>44958</v>
      </c>
      <c r="E48" s="11" t="s">
        <v>132</v>
      </c>
      <c r="F48" s="11" t="s">
        <v>133</v>
      </c>
      <c r="G48" s="12" t="s">
        <v>14</v>
      </c>
      <c r="H48" s="8" t="s">
        <v>15</v>
      </c>
      <c r="I48" s="10">
        <v>44958</v>
      </c>
      <c r="J48" s="16"/>
    </row>
    <row r="49" spans="1:10">
      <c r="A49" s="8">
        <f t="shared" si="2"/>
        <v>48</v>
      </c>
      <c r="B49" s="8" t="s">
        <v>134</v>
      </c>
      <c r="C49" s="9" t="s">
        <v>44</v>
      </c>
      <c r="D49" s="10">
        <v>45065</v>
      </c>
      <c r="E49" s="11" t="s">
        <v>135</v>
      </c>
      <c r="F49" s="11" t="s">
        <v>136</v>
      </c>
      <c r="G49" s="12" t="s">
        <v>137</v>
      </c>
      <c r="H49" s="8" t="s">
        <v>15</v>
      </c>
      <c r="I49" s="10">
        <v>45065</v>
      </c>
      <c r="J49" s="16"/>
    </row>
    <row r="50" ht="72" spans="1:10">
      <c r="A50" s="8">
        <f t="shared" si="2"/>
        <v>49</v>
      </c>
      <c r="B50" s="8" t="s">
        <v>134</v>
      </c>
      <c r="C50" s="9" t="s">
        <v>44</v>
      </c>
      <c r="D50" s="10">
        <v>45076</v>
      </c>
      <c r="E50" s="11" t="s">
        <v>138</v>
      </c>
      <c r="F50" s="11" t="s">
        <v>139</v>
      </c>
      <c r="G50" s="12" t="s">
        <v>137</v>
      </c>
      <c r="H50" s="8" t="s">
        <v>15</v>
      </c>
      <c r="I50" s="10">
        <v>45076</v>
      </c>
      <c r="J50" s="16"/>
    </row>
    <row r="51" spans="1:10">
      <c r="A51" s="8">
        <f t="shared" si="2"/>
        <v>50</v>
      </c>
      <c r="B51" s="8" t="s">
        <v>85</v>
      </c>
      <c r="C51" s="9" t="s">
        <v>44</v>
      </c>
      <c r="D51" s="10">
        <v>45090</v>
      </c>
      <c r="E51" s="11" t="s">
        <v>140</v>
      </c>
      <c r="F51" s="11" t="s">
        <v>141</v>
      </c>
      <c r="G51" s="12" t="s">
        <v>142</v>
      </c>
      <c r="H51" s="8" t="s">
        <v>15</v>
      </c>
      <c r="I51" s="10">
        <v>45116</v>
      </c>
      <c r="J51" s="16"/>
    </row>
    <row r="52" spans="1:10">
      <c r="A52" s="8">
        <f t="shared" si="2"/>
        <v>51</v>
      </c>
      <c r="B52" s="8" t="s">
        <v>85</v>
      </c>
      <c r="C52" s="9" t="s">
        <v>44</v>
      </c>
      <c r="D52" s="10">
        <v>45090</v>
      </c>
      <c r="E52" s="11" t="s">
        <v>143</v>
      </c>
      <c r="F52" s="11" t="s">
        <v>144</v>
      </c>
      <c r="G52" s="12" t="s">
        <v>142</v>
      </c>
      <c r="H52" s="8" t="s">
        <v>15</v>
      </c>
      <c r="I52" s="10">
        <v>45116</v>
      </c>
      <c r="J52" s="16"/>
    </row>
    <row r="53" spans="1:10">
      <c r="A53" s="8">
        <f>ROW()-1</f>
        <v>52</v>
      </c>
      <c r="B53" s="8" t="s">
        <v>85</v>
      </c>
      <c r="C53" s="9" t="s">
        <v>44</v>
      </c>
      <c r="D53" s="10">
        <v>45090</v>
      </c>
      <c r="E53" s="11" t="s">
        <v>145</v>
      </c>
      <c r="F53" s="11" t="s">
        <v>146</v>
      </c>
      <c r="G53" s="12" t="s">
        <v>142</v>
      </c>
      <c r="H53" s="8" t="s">
        <v>15</v>
      </c>
      <c r="I53" s="10">
        <v>45116</v>
      </c>
      <c r="J53" s="16"/>
    </row>
    <row r="54" spans="1:10">
      <c r="A54" s="8">
        <f>ROW()-1</f>
        <v>53</v>
      </c>
      <c r="B54" s="8" t="s">
        <v>85</v>
      </c>
      <c r="C54" s="9" t="s">
        <v>44</v>
      </c>
      <c r="D54" s="10">
        <v>45090</v>
      </c>
      <c r="E54" s="11" t="s">
        <v>147</v>
      </c>
      <c r="F54" s="11" t="s">
        <v>148</v>
      </c>
      <c r="G54" s="12" t="s">
        <v>91</v>
      </c>
      <c r="H54" s="8" t="s">
        <v>15</v>
      </c>
      <c r="I54" s="10">
        <v>45116</v>
      </c>
      <c r="J54" s="16"/>
    </row>
    <row r="55" spans="1:10">
      <c r="A55" s="8">
        <f>ROW()-1</f>
        <v>54</v>
      </c>
      <c r="B55" s="8" t="s">
        <v>85</v>
      </c>
      <c r="C55" s="9" t="s">
        <v>44</v>
      </c>
      <c r="D55" s="10">
        <v>45092</v>
      </c>
      <c r="E55" s="11" t="s">
        <v>149</v>
      </c>
      <c r="F55" s="11" t="s">
        <v>150</v>
      </c>
      <c r="G55" s="12" t="s">
        <v>35</v>
      </c>
      <c r="H55" s="8" t="s">
        <v>15</v>
      </c>
      <c r="I55" s="10">
        <v>45093</v>
      </c>
      <c r="J55" s="16"/>
    </row>
    <row r="56" ht="129.6" spans="1:10">
      <c r="A56" s="8">
        <f>ROW()-1</f>
        <v>55</v>
      </c>
      <c r="B56" s="17" t="s">
        <v>35</v>
      </c>
      <c r="C56" s="9" t="s">
        <v>44</v>
      </c>
      <c r="D56" s="10">
        <v>45117</v>
      </c>
      <c r="E56" s="11" t="s">
        <v>151</v>
      </c>
      <c r="F56" s="11" t="s">
        <v>152</v>
      </c>
      <c r="G56" s="12" t="s">
        <v>91</v>
      </c>
      <c r="H56" s="8" t="s">
        <v>15</v>
      </c>
      <c r="I56" s="10">
        <v>45119</v>
      </c>
      <c r="J56" s="16"/>
    </row>
    <row r="57" ht="115.2" spans="1:10">
      <c r="A57" s="8">
        <f>ROW()-1</f>
        <v>56</v>
      </c>
      <c r="B57" s="17" t="s">
        <v>35</v>
      </c>
      <c r="C57" s="9" t="s">
        <v>44</v>
      </c>
      <c r="D57" s="10">
        <v>45119</v>
      </c>
      <c r="E57" s="11" t="s">
        <v>153</v>
      </c>
      <c r="F57" s="11" t="s">
        <v>154</v>
      </c>
      <c r="G57" s="12" t="s">
        <v>91</v>
      </c>
      <c r="H57" s="8" t="s">
        <v>15</v>
      </c>
      <c r="I57" s="10">
        <v>45131</v>
      </c>
      <c r="J57" s="16"/>
    </row>
    <row r="58" ht="129.6" spans="1:10">
      <c r="A58" s="8">
        <f t="shared" ref="A58:A77" si="3">ROW()-1</f>
        <v>57</v>
      </c>
      <c r="B58" s="17" t="s">
        <v>35</v>
      </c>
      <c r="C58" s="9" t="s">
        <v>44</v>
      </c>
      <c r="D58" s="10">
        <v>45131</v>
      </c>
      <c r="E58" s="11" t="s">
        <v>155</v>
      </c>
      <c r="F58" s="11" t="s">
        <v>156</v>
      </c>
      <c r="G58" s="12" t="s">
        <v>91</v>
      </c>
      <c r="H58" s="8" t="s">
        <v>15</v>
      </c>
      <c r="I58" s="10">
        <v>45131</v>
      </c>
      <c r="J58" s="16"/>
    </row>
    <row r="59" ht="28.8" spans="1:10">
      <c r="A59" s="8">
        <f t="shared" si="3"/>
        <v>58</v>
      </c>
      <c r="B59" s="8" t="s">
        <v>157</v>
      </c>
      <c r="C59" s="9" t="s">
        <v>117</v>
      </c>
      <c r="D59" s="10">
        <v>45120</v>
      </c>
      <c r="E59" s="11" t="s">
        <v>158</v>
      </c>
      <c r="F59" s="11" t="s">
        <v>119</v>
      </c>
      <c r="G59" s="12" t="s">
        <v>73</v>
      </c>
      <c r="H59" s="8" t="s">
        <v>15</v>
      </c>
      <c r="I59" s="10">
        <v>45120</v>
      </c>
      <c r="J59" s="16"/>
    </row>
    <row r="60" ht="28.8" spans="1:10">
      <c r="A60" s="8">
        <f t="shared" si="3"/>
        <v>59</v>
      </c>
      <c r="B60" s="8" t="s">
        <v>157</v>
      </c>
      <c r="C60" s="9" t="s">
        <v>117</v>
      </c>
      <c r="D60" s="10">
        <v>45135</v>
      </c>
      <c r="E60" s="11" t="s">
        <v>159</v>
      </c>
      <c r="F60" s="11" t="s">
        <v>160</v>
      </c>
      <c r="G60" s="12" t="s">
        <v>73</v>
      </c>
      <c r="H60" s="8" t="s">
        <v>15</v>
      </c>
      <c r="I60" s="10"/>
      <c r="J60" s="16"/>
    </row>
    <row r="61" ht="86.4" spans="1:10">
      <c r="A61" s="8">
        <f t="shared" si="3"/>
        <v>60</v>
      </c>
      <c r="B61" s="8" t="s">
        <v>35</v>
      </c>
      <c r="C61" s="9" t="s">
        <v>44</v>
      </c>
      <c r="D61" s="10">
        <v>45138</v>
      </c>
      <c r="E61" s="11" t="s">
        <v>161</v>
      </c>
      <c r="F61" s="11" t="s">
        <v>162</v>
      </c>
      <c r="G61" s="11" t="s">
        <v>163</v>
      </c>
      <c r="H61" s="8" t="s">
        <v>15</v>
      </c>
      <c r="I61" s="10">
        <v>45146</v>
      </c>
      <c r="J61" s="16"/>
    </row>
    <row r="62" ht="28.8" spans="1:10">
      <c r="A62" s="8">
        <f t="shared" si="3"/>
        <v>61</v>
      </c>
      <c r="B62" s="8" t="s">
        <v>157</v>
      </c>
      <c r="C62" s="9" t="s">
        <v>117</v>
      </c>
      <c r="D62" s="10">
        <v>45146</v>
      </c>
      <c r="E62" s="11" t="s">
        <v>164</v>
      </c>
      <c r="F62" s="11" t="s">
        <v>165</v>
      </c>
      <c r="G62" s="12" t="s">
        <v>73</v>
      </c>
      <c r="H62" s="8" t="s">
        <v>15</v>
      </c>
      <c r="I62" s="10">
        <v>45151</v>
      </c>
      <c r="J62" s="16"/>
    </row>
    <row r="63" ht="28.8" spans="1:10">
      <c r="A63" s="8">
        <f t="shared" si="3"/>
        <v>62</v>
      </c>
      <c r="B63" s="8" t="s">
        <v>35</v>
      </c>
      <c r="C63" s="9" t="s">
        <v>44</v>
      </c>
      <c r="D63" s="10">
        <v>45153</v>
      </c>
      <c r="E63" s="11" t="s">
        <v>166</v>
      </c>
      <c r="F63" s="11" t="s">
        <v>167</v>
      </c>
      <c r="G63" s="12" t="s">
        <v>73</v>
      </c>
      <c r="H63" s="8" t="s">
        <v>15</v>
      </c>
      <c r="I63" s="10">
        <v>45154</v>
      </c>
      <c r="J63" s="16"/>
    </row>
    <row r="64" spans="1:10">
      <c r="A64" s="8">
        <f t="shared" si="3"/>
        <v>63</v>
      </c>
      <c r="B64" s="8" t="s">
        <v>35</v>
      </c>
      <c r="C64" s="9" t="s">
        <v>44</v>
      </c>
      <c r="D64" s="10">
        <v>45153</v>
      </c>
      <c r="E64" s="11" t="s">
        <v>168</v>
      </c>
      <c r="F64" s="11" t="s">
        <v>169</v>
      </c>
      <c r="G64" s="12" t="s">
        <v>73</v>
      </c>
      <c r="H64" s="8" t="s">
        <v>15</v>
      </c>
      <c r="I64" s="10">
        <v>45154</v>
      </c>
      <c r="J64" s="16"/>
    </row>
    <row r="65" spans="1:10">
      <c r="A65" s="8">
        <f t="shared" si="3"/>
        <v>64</v>
      </c>
      <c r="B65" s="8" t="s">
        <v>35</v>
      </c>
      <c r="C65" s="9" t="s">
        <v>44</v>
      </c>
      <c r="D65" s="10">
        <v>45153</v>
      </c>
      <c r="E65" s="11" t="s">
        <v>170</v>
      </c>
      <c r="F65" s="11" t="s">
        <v>171</v>
      </c>
      <c r="G65" s="12" t="s">
        <v>172</v>
      </c>
      <c r="H65" s="8" t="s">
        <v>15</v>
      </c>
      <c r="I65" s="10">
        <v>45154</v>
      </c>
      <c r="J65" s="16"/>
    </row>
    <row r="66" ht="28.8" spans="1:10">
      <c r="A66" s="8">
        <f t="shared" si="3"/>
        <v>65</v>
      </c>
      <c r="B66" s="8" t="s">
        <v>157</v>
      </c>
      <c r="C66" s="9" t="s">
        <v>117</v>
      </c>
      <c r="D66" s="10">
        <v>45173</v>
      </c>
      <c r="E66" s="11" t="s">
        <v>173</v>
      </c>
      <c r="F66" s="11" t="s">
        <v>174</v>
      </c>
      <c r="G66" s="12" t="s">
        <v>73</v>
      </c>
      <c r="H66" s="8" t="s">
        <v>15</v>
      </c>
      <c r="I66" s="10">
        <v>45173</v>
      </c>
      <c r="J66" s="16"/>
    </row>
    <row r="67" ht="28.8" spans="1:10">
      <c r="A67" s="8">
        <f t="shared" si="3"/>
        <v>66</v>
      </c>
      <c r="B67" s="8" t="s">
        <v>157</v>
      </c>
      <c r="C67" s="9" t="s">
        <v>117</v>
      </c>
      <c r="D67" s="10">
        <v>45187</v>
      </c>
      <c r="E67" s="11" t="s">
        <v>175</v>
      </c>
      <c r="F67" s="11" t="s">
        <v>176</v>
      </c>
      <c r="G67" s="12" t="s">
        <v>91</v>
      </c>
      <c r="H67" s="8" t="s">
        <v>15</v>
      </c>
      <c r="I67" s="10">
        <v>45207</v>
      </c>
      <c r="J67" s="16"/>
    </row>
    <row r="68" ht="28.8" spans="1:10">
      <c r="A68" s="8">
        <f t="shared" si="3"/>
        <v>67</v>
      </c>
      <c r="B68" s="8" t="s">
        <v>35</v>
      </c>
      <c r="C68" s="9" t="s">
        <v>44</v>
      </c>
      <c r="D68" s="10">
        <v>45215</v>
      </c>
      <c r="E68" s="11" t="s">
        <v>177</v>
      </c>
      <c r="F68" s="11" t="s">
        <v>178</v>
      </c>
      <c r="G68" s="12" t="s">
        <v>179</v>
      </c>
      <c r="H68" s="8" t="s">
        <v>15</v>
      </c>
      <c r="I68" s="10">
        <v>45218</v>
      </c>
      <c r="J68" s="16"/>
    </row>
    <row r="69" spans="1:10">
      <c r="A69" s="8">
        <f>ROW()-1</f>
        <v>68</v>
      </c>
      <c r="B69" s="8" t="s">
        <v>35</v>
      </c>
      <c r="C69" s="9" t="s">
        <v>44</v>
      </c>
      <c r="D69" s="10">
        <v>45229</v>
      </c>
      <c r="E69" s="11" t="s">
        <v>180</v>
      </c>
      <c r="F69" s="11" t="s">
        <v>181</v>
      </c>
      <c r="G69" s="12" t="s">
        <v>182</v>
      </c>
      <c r="H69" s="8" t="s">
        <v>15</v>
      </c>
      <c r="I69" s="10">
        <v>45230</v>
      </c>
      <c r="J69" s="16"/>
    </row>
    <row r="70" ht="28.8" spans="1:10">
      <c r="A70" s="8">
        <f>ROW()-1</f>
        <v>69</v>
      </c>
      <c r="B70" s="8" t="s">
        <v>157</v>
      </c>
      <c r="C70" s="9" t="s">
        <v>44</v>
      </c>
      <c r="D70" s="10">
        <v>45257</v>
      </c>
      <c r="E70" s="11" t="s">
        <v>183</v>
      </c>
      <c r="F70" s="11" t="s">
        <v>184</v>
      </c>
      <c r="G70" s="12" t="s">
        <v>185</v>
      </c>
      <c r="H70" s="8" t="s">
        <v>15</v>
      </c>
      <c r="I70" s="10">
        <v>45274</v>
      </c>
      <c r="J70" s="16"/>
    </row>
    <row r="71" ht="28.8" spans="1:10">
      <c r="A71" s="8">
        <f t="shared" ref="A71:A103" si="4">ROW()-1</f>
        <v>70</v>
      </c>
      <c r="B71" s="8" t="s">
        <v>186</v>
      </c>
      <c r="C71" s="9" t="s">
        <v>117</v>
      </c>
      <c r="D71" s="10">
        <v>45269</v>
      </c>
      <c r="E71" s="11" t="s">
        <v>187</v>
      </c>
      <c r="F71" s="11" t="s">
        <v>188</v>
      </c>
      <c r="G71" s="12" t="s">
        <v>189</v>
      </c>
      <c r="H71" s="8" t="s">
        <v>15</v>
      </c>
      <c r="I71" s="10">
        <v>45269</v>
      </c>
      <c r="J71" s="16"/>
    </row>
    <row r="72" ht="28.8" spans="1:10">
      <c r="A72" s="8">
        <f t="shared" si="4"/>
        <v>71</v>
      </c>
      <c r="B72" s="8" t="s">
        <v>186</v>
      </c>
      <c r="C72" s="9" t="s">
        <v>44</v>
      </c>
      <c r="D72" s="10">
        <v>45271</v>
      </c>
      <c r="E72" s="11" t="s">
        <v>190</v>
      </c>
      <c r="F72" s="11" t="s">
        <v>191</v>
      </c>
      <c r="G72" s="11" t="s">
        <v>192</v>
      </c>
      <c r="H72" s="8" t="s">
        <v>15</v>
      </c>
      <c r="I72" s="10">
        <v>45271</v>
      </c>
      <c r="J72" s="16"/>
    </row>
    <row r="73" ht="28.8" spans="1:10">
      <c r="A73" s="8">
        <f t="shared" si="4"/>
        <v>72</v>
      </c>
      <c r="B73" s="8" t="s">
        <v>186</v>
      </c>
      <c r="C73" s="9" t="s">
        <v>44</v>
      </c>
      <c r="D73" s="10">
        <v>45274</v>
      </c>
      <c r="E73" s="11" t="s">
        <v>193</v>
      </c>
      <c r="F73" s="11" t="s">
        <v>194</v>
      </c>
      <c r="G73" s="11" t="s">
        <v>192</v>
      </c>
      <c r="H73" s="8" t="s">
        <v>15</v>
      </c>
      <c r="I73" s="10">
        <v>45274</v>
      </c>
      <c r="J73" s="16"/>
    </row>
    <row r="74" spans="1:10">
      <c r="A74" s="8">
        <f t="shared" si="4"/>
        <v>73</v>
      </c>
      <c r="B74" s="8" t="s">
        <v>157</v>
      </c>
      <c r="C74" s="9" t="s">
        <v>44</v>
      </c>
      <c r="D74" s="10">
        <v>45349</v>
      </c>
      <c r="E74" s="11" t="s">
        <v>195</v>
      </c>
      <c r="F74" s="11" t="s">
        <v>196</v>
      </c>
      <c r="G74" s="12" t="s">
        <v>73</v>
      </c>
      <c r="H74" s="8" t="s">
        <v>15</v>
      </c>
      <c r="I74" s="10">
        <v>45349</v>
      </c>
      <c r="J74" s="16"/>
    </row>
    <row r="75" spans="1:10">
      <c r="A75" s="8">
        <f t="shared" si="4"/>
        <v>74</v>
      </c>
      <c r="B75" s="8" t="s">
        <v>157</v>
      </c>
      <c r="C75" s="9" t="s">
        <v>44</v>
      </c>
      <c r="D75" s="10">
        <v>45377</v>
      </c>
      <c r="E75" s="11" t="s">
        <v>197</v>
      </c>
      <c r="F75" s="11" t="s">
        <v>198</v>
      </c>
      <c r="G75" s="12" t="s">
        <v>73</v>
      </c>
      <c r="H75" s="8" t="s">
        <v>15</v>
      </c>
      <c r="I75" s="10">
        <v>45377</v>
      </c>
      <c r="J75" s="16"/>
    </row>
    <row r="76" ht="28.8" spans="1:10">
      <c r="A76" s="8">
        <f t="shared" si="4"/>
        <v>75</v>
      </c>
      <c r="B76" s="8" t="s">
        <v>157</v>
      </c>
      <c r="C76" s="9" t="s">
        <v>117</v>
      </c>
      <c r="D76" s="10">
        <v>45431</v>
      </c>
      <c r="E76" s="11" t="s">
        <v>199</v>
      </c>
      <c r="F76" s="11" t="s">
        <v>200</v>
      </c>
      <c r="G76" s="12" t="s">
        <v>73</v>
      </c>
      <c r="H76" s="8" t="s">
        <v>15</v>
      </c>
      <c r="I76" s="10">
        <v>45431</v>
      </c>
      <c r="J76" s="16"/>
    </row>
    <row r="77" ht="28.8" spans="1:10">
      <c r="A77" s="8">
        <f t="shared" si="4"/>
        <v>76</v>
      </c>
      <c r="B77" s="8" t="s">
        <v>157</v>
      </c>
      <c r="C77" s="9" t="s">
        <v>117</v>
      </c>
      <c r="D77" s="10">
        <v>45446</v>
      </c>
      <c r="E77" s="11" t="s">
        <v>201</v>
      </c>
      <c r="F77" s="11" t="s">
        <v>202</v>
      </c>
      <c r="G77" s="12" t="s">
        <v>73</v>
      </c>
      <c r="H77" s="8" t="s">
        <v>15</v>
      </c>
      <c r="I77" s="10">
        <v>45446</v>
      </c>
      <c r="J77" s="16"/>
    </row>
    <row r="78" ht="28.8" spans="1:10">
      <c r="A78" s="8">
        <f t="shared" si="4"/>
        <v>77</v>
      </c>
      <c r="B78" s="8" t="s">
        <v>157</v>
      </c>
      <c r="C78" s="9" t="s">
        <v>117</v>
      </c>
      <c r="D78" s="10">
        <v>45448</v>
      </c>
      <c r="E78" s="11" t="s">
        <v>203</v>
      </c>
      <c r="F78" s="11" t="s">
        <v>204</v>
      </c>
      <c r="G78" s="12" t="s">
        <v>73</v>
      </c>
      <c r="H78" s="8" t="s">
        <v>15</v>
      </c>
      <c r="I78" s="10">
        <v>45448</v>
      </c>
      <c r="J78" s="16"/>
    </row>
    <row r="79" spans="1:10">
      <c r="A79" s="8">
        <f t="shared" si="4"/>
        <v>78</v>
      </c>
      <c r="B79" s="8" t="s">
        <v>205</v>
      </c>
      <c r="C79" s="9" t="s">
        <v>44</v>
      </c>
      <c r="D79" s="10">
        <v>45448</v>
      </c>
      <c r="E79" s="11" t="s">
        <v>206</v>
      </c>
      <c r="F79" s="11" t="s">
        <v>207</v>
      </c>
      <c r="G79" s="12" t="s">
        <v>208</v>
      </c>
      <c r="H79" s="8" t="s">
        <v>15</v>
      </c>
      <c r="I79" s="10">
        <v>45448</v>
      </c>
      <c r="J79" s="16"/>
    </row>
    <row r="80" ht="28.8" spans="1:10">
      <c r="A80" s="8">
        <f t="shared" si="4"/>
        <v>79</v>
      </c>
      <c r="B80" s="8" t="s">
        <v>157</v>
      </c>
      <c r="C80" s="9" t="s">
        <v>117</v>
      </c>
      <c r="D80" s="10">
        <v>45483</v>
      </c>
      <c r="E80" s="11" t="s">
        <v>209</v>
      </c>
      <c r="F80" s="11" t="s">
        <v>119</v>
      </c>
      <c r="G80" s="12" t="s">
        <v>73</v>
      </c>
      <c r="H80" s="8" t="s">
        <v>15</v>
      </c>
      <c r="I80" s="10">
        <v>45483</v>
      </c>
      <c r="J80" s="16"/>
    </row>
    <row r="81" ht="28.8" spans="1:10">
      <c r="A81" s="8">
        <f t="shared" si="4"/>
        <v>80</v>
      </c>
      <c r="B81" s="8" t="s">
        <v>157</v>
      </c>
      <c r="C81" s="9" t="s">
        <v>117</v>
      </c>
      <c r="D81" s="10">
        <v>45483</v>
      </c>
      <c r="E81" s="11" t="s">
        <v>210</v>
      </c>
      <c r="F81" s="11" t="s">
        <v>119</v>
      </c>
      <c r="G81" s="12" t="s">
        <v>73</v>
      </c>
      <c r="H81" s="8" t="s">
        <v>15</v>
      </c>
      <c r="I81" s="10">
        <v>45483</v>
      </c>
      <c r="J81" s="16"/>
    </row>
    <row r="82" ht="57.6" spans="1:10">
      <c r="A82" s="8">
        <f t="shared" si="4"/>
        <v>81</v>
      </c>
      <c r="B82" s="8" t="s">
        <v>157</v>
      </c>
      <c r="C82" s="9" t="s">
        <v>117</v>
      </c>
      <c r="D82" s="10">
        <v>45496</v>
      </c>
      <c r="E82" s="11" t="s">
        <v>211</v>
      </c>
      <c r="F82" s="11" t="s">
        <v>202</v>
      </c>
      <c r="G82" s="12" t="s">
        <v>73</v>
      </c>
      <c r="H82" s="8" t="s">
        <v>15</v>
      </c>
      <c r="I82" s="10">
        <v>45496</v>
      </c>
      <c r="J82" s="16"/>
    </row>
    <row r="83" spans="1:10">
      <c r="A83" s="8">
        <f t="shared" si="4"/>
        <v>82</v>
      </c>
      <c r="B83" s="8" t="s">
        <v>157</v>
      </c>
      <c r="C83" s="9" t="s">
        <v>44</v>
      </c>
      <c r="D83" s="10">
        <v>45498</v>
      </c>
      <c r="E83" s="11" t="s">
        <v>212</v>
      </c>
      <c r="F83" s="11" t="s">
        <v>213</v>
      </c>
      <c r="G83" s="12" t="s">
        <v>73</v>
      </c>
      <c r="H83" s="8" t="s">
        <v>15</v>
      </c>
      <c r="I83" s="10">
        <v>45498</v>
      </c>
      <c r="J83" s="16"/>
    </row>
    <row r="84" spans="1:10">
      <c r="A84" s="8">
        <f t="shared" si="4"/>
        <v>83</v>
      </c>
      <c r="B84" s="8" t="s">
        <v>157</v>
      </c>
      <c r="C84" s="9" t="s">
        <v>44</v>
      </c>
      <c r="D84" s="10">
        <v>45499</v>
      </c>
      <c r="E84" s="11" t="s">
        <v>214</v>
      </c>
      <c r="F84" s="11" t="s">
        <v>215</v>
      </c>
      <c r="G84" s="12" t="s">
        <v>73</v>
      </c>
      <c r="H84" s="8" t="s">
        <v>15</v>
      </c>
      <c r="I84" s="10">
        <v>45499</v>
      </c>
      <c r="J84" s="16"/>
    </row>
    <row r="85" spans="1:10">
      <c r="A85" s="8">
        <f t="shared" si="4"/>
        <v>84</v>
      </c>
      <c r="B85" s="8" t="s">
        <v>157</v>
      </c>
      <c r="C85" s="9" t="s">
        <v>44</v>
      </c>
      <c r="D85" s="10">
        <v>45509</v>
      </c>
      <c r="E85" s="11" t="s">
        <v>212</v>
      </c>
      <c r="F85" s="11" t="s">
        <v>216</v>
      </c>
      <c r="G85" s="12" t="s">
        <v>73</v>
      </c>
      <c r="H85" s="8" t="s">
        <v>15</v>
      </c>
      <c r="I85" s="10">
        <v>45509</v>
      </c>
      <c r="J85" s="16"/>
    </row>
    <row r="86" spans="1:10">
      <c r="A86" s="8">
        <f t="shared" si="4"/>
        <v>85</v>
      </c>
      <c r="B86" s="8" t="s">
        <v>217</v>
      </c>
      <c r="C86" s="9" t="s">
        <v>44</v>
      </c>
      <c r="D86" s="10">
        <v>45511</v>
      </c>
      <c r="E86" s="11" t="s">
        <v>218</v>
      </c>
      <c r="F86" s="11" t="s">
        <v>219</v>
      </c>
      <c r="G86" s="12" t="s">
        <v>73</v>
      </c>
      <c r="H86" s="8" t="s">
        <v>15</v>
      </c>
      <c r="I86" s="10">
        <v>45511</v>
      </c>
      <c r="J86" s="16"/>
    </row>
    <row r="87" ht="43.2" spans="1:10">
      <c r="A87" s="8">
        <f t="shared" si="4"/>
        <v>86</v>
      </c>
      <c r="B87" s="8" t="s">
        <v>217</v>
      </c>
      <c r="C87" s="9" t="s">
        <v>44</v>
      </c>
      <c r="D87" s="10">
        <v>45691</v>
      </c>
      <c r="E87" s="11" t="s">
        <v>220</v>
      </c>
      <c r="F87" s="11" t="s">
        <v>221</v>
      </c>
      <c r="G87" s="12" t="s">
        <v>23</v>
      </c>
      <c r="H87" s="8" t="s">
        <v>15</v>
      </c>
      <c r="I87" s="10">
        <v>45691</v>
      </c>
      <c r="J87" s="16"/>
    </row>
    <row r="88" ht="57.6" spans="1:10">
      <c r="A88" s="8">
        <f t="shared" si="4"/>
        <v>87</v>
      </c>
      <c r="B88" s="8" t="s">
        <v>217</v>
      </c>
      <c r="C88" s="9" t="s">
        <v>44</v>
      </c>
      <c r="D88" s="10">
        <v>45696</v>
      </c>
      <c r="E88" s="11" t="s">
        <v>222</v>
      </c>
      <c r="F88" s="11" t="s">
        <v>223</v>
      </c>
      <c r="G88" s="12" t="s">
        <v>23</v>
      </c>
      <c r="H88" s="8" t="s">
        <v>15</v>
      </c>
      <c r="I88" s="10">
        <v>45696</v>
      </c>
      <c r="J88" s="16"/>
    </row>
    <row r="89" spans="1:10">
      <c r="A89" s="8">
        <f t="shared" si="4"/>
        <v>88</v>
      </c>
      <c r="B89" s="8" t="s">
        <v>217</v>
      </c>
      <c r="C89" s="9" t="s">
        <v>44</v>
      </c>
      <c r="D89" s="10">
        <v>45801</v>
      </c>
      <c r="E89" s="11" t="s">
        <v>224</v>
      </c>
      <c r="F89" s="11" t="s">
        <v>225</v>
      </c>
      <c r="G89" s="12" t="s">
        <v>14</v>
      </c>
      <c r="H89" s="8" t="s">
        <v>15</v>
      </c>
      <c r="I89" s="10">
        <v>45801</v>
      </c>
      <c r="J89" s="16"/>
    </row>
    <row r="90" spans="1:10">
      <c r="A90" s="8">
        <f t="shared" si="4"/>
        <v>89</v>
      </c>
      <c r="B90" s="8" t="s">
        <v>217</v>
      </c>
      <c r="C90" s="9" t="s">
        <v>44</v>
      </c>
      <c r="D90" s="10">
        <v>45803</v>
      </c>
      <c r="E90" s="11" t="s">
        <v>226</v>
      </c>
      <c r="F90" s="11" t="s">
        <v>225</v>
      </c>
      <c r="G90" s="12" t="s">
        <v>14</v>
      </c>
      <c r="H90" s="8" t="s">
        <v>15</v>
      </c>
      <c r="I90" s="10">
        <v>45803</v>
      </c>
      <c r="J90" s="16"/>
    </row>
    <row r="91" ht="43.2" spans="1:10">
      <c r="A91" s="8">
        <f t="shared" si="4"/>
        <v>90</v>
      </c>
      <c r="B91" s="8" t="s">
        <v>217</v>
      </c>
      <c r="C91" s="9" t="s">
        <v>117</v>
      </c>
      <c r="D91" s="10">
        <v>45805</v>
      </c>
      <c r="E91" s="11" t="s">
        <v>227</v>
      </c>
      <c r="F91" s="11" t="s">
        <v>228</v>
      </c>
      <c r="G91" s="12" t="s">
        <v>18</v>
      </c>
      <c r="H91" s="8" t="s">
        <v>15</v>
      </c>
      <c r="I91" s="10">
        <v>45805</v>
      </c>
      <c r="J91" s="16"/>
    </row>
    <row r="92" ht="28.8" spans="1:10">
      <c r="A92" s="8">
        <f t="shared" si="4"/>
        <v>91</v>
      </c>
      <c r="B92" s="8" t="s">
        <v>217</v>
      </c>
      <c r="C92" s="9" t="s">
        <v>44</v>
      </c>
      <c r="D92" s="10">
        <v>45806</v>
      </c>
      <c r="E92" s="11" t="s">
        <v>229</v>
      </c>
      <c r="F92" s="11" t="s">
        <v>230</v>
      </c>
      <c r="G92" s="12" t="s">
        <v>231</v>
      </c>
      <c r="H92" s="8" t="s">
        <v>15</v>
      </c>
      <c r="I92" s="10">
        <v>45806</v>
      </c>
      <c r="J92" s="16"/>
    </row>
    <row r="93" ht="43.2" spans="1:10">
      <c r="A93" s="8">
        <f t="shared" si="4"/>
        <v>92</v>
      </c>
      <c r="B93" s="8" t="s">
        <v>217</v>
      </c>
      <c r="C93" s="9" t="s">
        <v>44</v>
      </c>
      <c r="D93" s="10">
        <v>45806</v>
      </c>
      <c r="E93" s="11" t="s">
        <v>232</v>
      </c>
      <c r="F93" s="11" t="s">
        <v>233</v>
      </c>
      <c r="G93" s="12" t="s">
        <v>231</v>
      </c>
      <c r="H93" s="8" t="s">
        <v>15</v>
      </c>
      <c r="I93" s="10">
        <v>45806</v>
      </c>
      <c r="J93" s="16"/>
    </row>
    <row r="94" ht="201.6" spans="1:10">
      <c r="A94" s="8">
        <f t="shared" si="4"/>
        <v>93</v>
      </c>
      <c r="B94" s="8" t="s">
        <v>217</v>
      </c>
      <c r="C94" s="9" t="s">
        <v>44</v>
      </c>
      <c r="D94" s="10">
        <v>45838</v>
      </c>
      <c r="E94" s="18" t="s">
        <v>234</v>
      </c>
      <c r="F94" s="11" t="s">
        <v>235</v>
      </c>
      <c r="G94" s="12" t="s">
        <v>23</v>
      </c>
      <c r="H94" s="8" t="s">
        <v>15</v>
      </c>
      <c r="I94" s="10">
        <v>45838</v>
      </c>
      <c r="J94" s="16"/>
    </row>
    <row r="95" ht="43.2" spans="1:10">
      <c r="A95" s="8">
        <f t="shared" si="4"/>
        <v>94</v>
      </c>
      <c r="B95" s="8" t="s">
        <v>217</v>
      </c>
      <c r="C95" s="9" t="s">
        <v>117</v>
      </c>
      <c r="D95" s="10">
        <v>46105</v>
      </c>
      <c r="E95" s="11" t="s">
        <v>236</v>
      </c>
      <c r="F95" s="11" t="s">
        <v>237</v>
      </c>
      <c r="G95" s="12" t="s">
        <v>231</v>
      </c>
      <c r="H95" s="8" t="s">
        <v>15</v>
      </c>
      <c r="I95" s="10"/>
      <c r="J95" s="16"/>
    </row>
    <row r="96" ht="57.6" spans="1:10">
      <c r="A96" s="8">
        <f t="shared" si="4"/>
        <v>95</v>
      </c>
      <c r="B96" s="8" t="s">
        <v>217</v>
      </c>
      <c r="C96" s="9" t="s">
        <v>117</v>
      </c>
      <c r="D96" s="10">
        <v>46106</v>
      </c>
      <c r="E96" s="11" t="s">
        <v>238</v>
      </c>
      <c r="F96" s="11" t="s">
        <v>239</v>
      </c>
      <c r="G96" s="12" t="s">
        <v>23</v>
      </c>
      <c r="H96" s="8" t="s">
        <v>15</v>
      </c>
      <c r="I96" s="10"/>
      <c r="J96" s="16"/>
    </row>
    <row r="97" spans="1:10">
      <c r="A97" s="8"/>
      <c r="B97" s="8"/>
      <c r="C97" s="9"/>
      <c r="D97" s="10"/>
      <c r="E97" s="11"/>
      <c r="F97" s="11"/>
      <c r="G97" s="12"/>
      <c r="H97" s="8"/>
      <c r="I97" s="10"/>
      <c r="J97" s="16"/>
    </row>
    <row r="98" spans="1:10">
      <c r="A98" s="8"/>
      <c r="B98" s="8"/>
      <c r="C98" s="9"/>
      <c r="D98" s="10"/>
      <c r="E98" s="11"/>
      <c r="F98" s="11"/>
      <c r="G98" s="12"/>
      <c r="H98" s="8"/>
      <c r="I98" s="10"/>
      <c r="J98" s="16"/>
    </row>
    <row r="99" spans="1:10">
      <c r="A99" s="8"/>
      <c r="B99" s="8"/>
      <c r="C99" s="9"/>
      <c r="D99" s="10"/>
      <c r="E99" s="11"/>
      <c r="F99" s="11"/>
      <c r="G99" s="12"/>
      <c r="H99" s="8"/>
      <c r="I99" s="10"/>
      <c r="J99" s="16"/>
    </row>
    <row r="100" spans="1:10">
      <c r="A100" s="8"/>
      <c r="B100" s="8"/>
      <c r="C100" s="9"/>
      <c r="D100" s="10"/>
      <c r="E100" s="11"/>
      <c r="F100" s="11"/>
      <c r="G100" s="12"/>
      <c r="H100" s="8"/>
      <c r="I100" s="10"/>
      <c r="J100" s="16"/>
    </row>
    <row r="101" spans="1:10">
      <c r="A101" s="8"/>
      <c r="B101" s="8"/>
      <c r="C101" s="9"/>
      <c r="D101" s="10"/>
      <c r="E101" s="11"/>
      <c r="F101" s="11"/>
      <c r="G101" s="12"/>
      <c r="H101" s="8"/>
      <c r="I101" s="10"/>
      <c r="J101" s="16"/>
    </row>
    <row r="102" spans="1:10">
      <c r="A102" s="8"/>
      <c r="B102" s="8"/>
      <c r="C102" s="9"/>
      <c r="D102" s="10"/>
      <c r="E102" s="11"/>
      <c r="F102" s="11"/>
      <c r="G102" s="12"/>
      <c r="H102" s="8"/>
      <c r="I102" s="10"/>
      <c r="J102" s="16"/>
    </row>
    <row r="103" spans="1:10">
      <c r="A103" s="8"/>
      <c r="B103" s="8"/>
      <c r="C103" s="9"/>
      <c r="D103" s="10"/>
      <c r="E103" s="11"/>
      <c r="F103" s="11"/>
      <c r="G103" s="12"/>
      <c r="H103" s="8"/>
      <c r="I103" s="10"/>
      <c r="J103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上海交大</vt:lpstr>
      <vt:lpstr>博湃测试</vt:lpstr>
      <vt:lpstr>ABB-P6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15465</dc:creator>
  <cp:lastModifiedBy>李jun葵</cp:lastModifiedBy>
  <dcterms:created xsi:type="dcterms:W3CDTF">2026-03-30T06:47:57Z</dcterms:created>
  <dcterms:modified xsi:type="dcterms:W3CDTF">2026-03-31T08:12:13Z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8BCF1D0458FB4E87A3868AD86DE57580_13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